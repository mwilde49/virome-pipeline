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ohort" sheetId="1" state="visible" r:id="rId1"/>
    <sheet xmlns:r="http://schemas.openxmlformats.org/officeDocument/2006/relationships" name="By Sample" sheetId="2" state="visible" r:id="rId2"/>
    <sheet xmlns:r="http://schemas.openxmlformats.org/officeDocument/2006/relationships" name="Notes" sheetId="3" state="visible" r:id="rId3"/>
  </sheets>
  <definedNames>
    <definedName name="_xlnm._FilterDatabase" localSheetId="1" hidden="1">'By Sample'!$A$4:$I$150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  <b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9" customWidth="1" min="3" max="3"/>
    <col width="9" customWidth="1" min="4" max="4"/>
    <col width="11" customWidth="1" min="5" max="5"/>
    <col width="11" customWidth="1" min="6" max="6"/>
    <col width="13" customWidth="1" min="7" max="7"/>
    <col width="14" customWidth="1" min="8" max="8"/>
    <col width="6" customWidth="1" min="9" max="9"/>
    <col width="6" customWidth="1" min="10" max="10"/>
    <col width="13" customWidth="1" min="11" max="11"/>
    <col width="13" customWidth="1" min="12" max="12"/>
  </cols>
  <sheetData>
    <row r="1">
      <c r="A1" s="1" t="inlineStr">
        <is>
          <t>Neurotrophic Virus Screen — By Cohort</t>
        </is>
      </c>
    </row>
    <row r="2">
      <c r="A2" s="2" t="inlineStr">
        <is>
          <t>Zero-threshold sensitivity (bracken_raw, DB1; DB2 also checked zero-threshold for dpn_ra_kulkarni/osm_juliet). See Notes tab.</t>
        </is>
      </c>
    </row>
    <row r="4">
      <c r="A4" s="3" t="inlineStr">
        <is>
          <t>Cohort</t>
        </is>
      </c>
      <c r="B4" s="3" t="inlineStr">
        <is>
          <t>n</t>
        </is>
      </c>
      <c r="C4" s="3" t="inlineStr">
        <is>
          <t>HERV-K+</t>
        </is>
      </c>
      <c r="D4" s="3" t="inlineStr">
        <is>
          <t>HERV-K %</t>
        </is>
      </c>
      <c r="E4" s="3" t="inlineStr">
        <is>
          <t>HSV genus+</t>
        </is>
      </c>
      <c r="F4" s="3" t="inlineStr">
        <is>
          <t>HSV genus %</t>
        </is>
      </c>
      <c r="G4" s="3" t="inlineStr">
        <is>
          <t>Rhadinovirus+</t>
        </is>
      </c>
      <c r="H4" s="3" t="inlineStr">
        <is>
          <t>Rhadinovirus %</t>
        </is>
      </c>
      <c r="I4" s="3" t="inlineStr">
        <is>
          <t>AAV+</t>
        </is>
      </c>
      <c r="J4" s="3" t="inlineStr">
        <is>
          <t>AAV %</t>
        </is>
      </c>
      <c r="K4" s="3" t="inlineStr">
        <is>
          <t>VZV/CMV/EBV+</t>
        </is>
      </c>
      <c r="L4" s="3" t="inlineStr">
        <is>
          <t>VZV/CMV/EBV %</t>
        </is>
      </c>
    </row>
    <row r="5">
      <c r="A5" t="inlineStr">
        <is>
          <t>Watchmaker</t>
        </is>
      </c>
      <c r="B5" t="n">
        <v>24</v>
      </c>
      <c r="C5" t="n">
        <v>20</v>
      </c>
      <c r="D5" s="4">
        <f>C5/B5</f>
        <v/>
      </c>
      <c r="E5" t="n">
        <v>1</v>
      </c>
      <c r="F5" s="4">
        <f>E5/B5</f>
        <v/>
      </c>
      <c r="G5" t="n">
        <v>0</v>
      </c>
      <c r="H5" s="4">
        <f>G5/B5</f>
        <v/>
      </c>
      <c r="I5" t="n">
        <v>0</v>
      </c>
      <c r="J5" s="4">
        <f>I5/B5</f>
        <v/>
      </c>
      <c r="K5" t="n">
        <v>0</v>
      </c>
      <c r="L5" s="4">
        <f>K5/B5</f>
        <v/>
      </c>
    </row>
    <row r="6">
      <c r="A6" t="inlineStr">
        <is>
          <t>adult_infant_soma_axon</t>
        </is>
      </c>
      <c r="B6" t="n">
        <v>10</v>
      </c>
      <c r="C6" t="n">
        <v>10</v>
      </c>
      <c r="D6" s="4">
        <f>C6/B6</f>
        <v/>
      </c>
      <c r="E6" t="n">
        <v>0</v>
      </c>
      <c r="F6" s="4">
        <f>E6/B6</f>
        <v/>
      </c>
      <c r="G6" t="n">
        <v>0</v>
      </c>
      <c r="H6" s="4">
        <f>G6/B6</f>
        <v/>
      </c>
      <c r="I6" t="n">
        <v>0</v>
      </c>
      <c r="J6" s="4">
        <f>I6/B6</f>
        <v/>
      </c>
      <c r="K6" t="n">
        <v>0</v>
      </c>
      <c r="L6" s="4">
        <f>K6/B6</f>
        <v/>
      </c>
    </row>
    <row r="7">
      <c r="A7" t="inlineStr">
        <is>
          <t>Thoracic DRG</t>
        </is>
      </c>
      <c r="B7" t="n">
        <v>24</v>
      </c>
      <c r="C7" t="n">
        <v>19</v>
      </c>
      <c r="D7" s="4">
        <f>C7/B7</f>
        <v/>
      </c>
      <c r="E7" t="n">
        <v>4</v>
      </c>
      <c r="F7" s="4">
        <f>E7/B7</f>
        <v/>
      </c>
      <c r="G7" t="n">
        <v>0</v>
      </c>
      <c r="H7" s="4">
        <f>G7/B7</f>
        <v/>
      </c>
      <c r="I7" t="n">
        <v>1</v>
      </c>
      <c r="J7" s="4">
        <f>I7/B7</f>
        <v/>
      </c>
      <c r="K7" t="n">
        <v>0</v>
      </c>
      <c r="L7" s="4">
        <f>K7/B7</f>
        <v/>
      </c>
    </row>
    <row r="8">
      <c r="A8" t="inlineStr">
        <is>
          <t>mgoexplant_saad</t>
        </is>
      </c>
      <c r="B8" t="n">
        <v>6</v>
      </c>
      <c r="C8" t="n">
        <v>5</v>
      </c>
      <c r="D8" s="4">
        <f>C8/B8</f>
        <v/>
      </c>
      <c r="E8" t="n">
        <v>0</v>
      </c>
      <c r="F8" s="4">
        <f>E8/B8</f>
        <v/>
      </c>
      <c r="G8" t="n">
        <v>0</v>
      </c>
      <c r="H8" s="4">
        <f>G8/B8</f>
        <v/>
      </c>
      <c r="I8" t="n">
        <v>0</v>
      </c>
      <c r="J8" s="4">
        <f>I8/B8</f>
        <v/>
      </c>
      <c r="K8" t="n">
        <v>0</v>
      </c>
      <c r="L8" s="4">
        <f>K8/B8</f>
        <v/>
      </c>
    </row>
    <row r="9">
      <c r="A9" t="inlineStr">
        <is>
          <t>tg_2018_emma_nih (TG)</t>
        </is>
      </c>
      <c r="B9" t="n">
        <v>16</v>
      </c>
      <c r="C9" t="n">
        <v>16</v>
      </c>
      <c r="D9" s="4">
        <f>C9/B9</f>
        <v/>
      </c>
      <c r="E9" t="n">
        <v>5</v>
      </c>
      <c r="F9" s="4">
        <f>E9/B9</f>
        <v/>
      </c>
      <c r="G9" t="n">
        <v>0</v>
      </c>
      <c r="H9" s="4">
        <f>G9/B9</f>
        <v/>
      </c>
      <c r="I9" t="n">
        <v>0</v>
      </c>
      <c r="J9" s="4">
        <f>I9/B9</f>
        <v/>
      </c>
      <c r="K9" t="n">
        <v>0</v>
      </c>
      <c r="L9" s="4">
        <f>K9/B9</f>
        <v/>
      </c>
    </row>
    <row r="10">
      <c r="A10" t="inlineStr">
        <is>
          <t>osmcultured_juliet</t>
        </is>
      </c>
      <c r="B10" t="n">
        <v>6</v>
      </c>
      <c r="C10" t="n">
        <v>6</v>
      </c>
      <c r="D10" s="4">
        <f>C10/B10</f>
        <v/>
      </c>
      <c r="E10" t="n">
        <v>0</v>
      </c>
      <c r="F10" s="4">
        <f>E10/B10</f>
        <v/>
      </c>
      <c r="G10" t="n">
        <v>0</v>
      </c>
      <c r="H10" s="4">
        <f>G10/B10</f>
        <v/>
      </c>
      <c r="I10" t="n">
        <v>0</v>
      </c>
      <c r="J10" s="4">
        <f>I10/B10</f>
        <v/>
      </c>
      <c r="K10" t="n">
        <v>0</v>
      </c>
      <c r="L10" s="4">
        <f>K10/B10</f>
        <v/>
      </c>
    </row>
    <row r="11">
      <c r="A11" t="inlineStr">
        <is>
          <t>rejoin_jayden</t>
        </is>
      </c>
      <c r="B11" t="n">
        <v>17</v>
      </c>
      <c r="C11" t="n">
        <v>17</v>
      </c>
      <c r="D11" s="4">
        <f>C11/B11</f>
        <v/>
      </c>
      <c r="E11" t="n">
        <v>2</v>
      </c>
      <c r="F11" s="4">
        <f>E11/B11</f>
        <v/>
      </c>
      <c r="G11" t="n">
        <v>1</v>
      </c>
      <c r="H11" s="4">
        <f>G11/B11</f>
        <v/>
      </c>
      <c r="I11" t="n">
        <v>0</v>
      </c>
      <c r="J11" s="4">
        <f>I11/B11</f>
        <v/>
      </c>
      <c r="K11" t="n">
        <v>0</v>
      </c>
      <c r="L11" s="4">
        <f>K11/B11</f>
        <v/>
      </c>
    </row>
    <row r="12">
      <c r="A12" t="inlineStr">
        <is>
          <t>dpn_ra_kulkarni</t>
        </is>
      </c>
      <c r="B12" t="n">
        <v>25</v>
      </c>
      <c r="C12" t="n">
        <v>25</v>
      </c>
      <c r="D12" s="4">
        <f>C12/B12</f>
        <v/>
      </c>
      <c r="E12" t="n">
        <v>0</v>
      </c>
      <c r="F12" s="4">
        <f>E12/B12</f>
        <v/>
      </c>
      <c r="G12" t="n">
        <v>0</v>
      </c>
      <c r="H12" s="4">
        <f>G12/B12</f>
        <v/>
      </c>
      <c r="I12" t="n">
        <v>0</v>
      </c>
      <c r="J12" s="4">
        <f>I12/B12</f>
        <v/>
      </c>
      <c r="K12" t="n">
        <v>0</v>
      </c>
      <c r="L12" s="4">
        <f>K12/B12</f>
        <v/>
      </c>
    </row>
    <row r="13">
      <c r="A13" t="inlineStr">
        <is>
          <t>osm_juliet</t>
        </is>
      </c>
      <c r="B13" t="n">
        <v>18</v>
      </c>
      <c r="C13" t="n">
        <v>18</v>
      </c>
      <c r="D13" s="4">
        <f>C13/B13</f>
        <v/>
      </c>
      <c r="E13" t="n">
        <v>0</v>
      </c>
      <c r="F13" s="4">
        <f>E13/B13</f>
        <v/>
      </c>
      <c r="G13" t="n">
        <v>0</v>
      </c>
      <c r="H13" s="4">
        <f>G13/B13</f>
        <v/>
      </c>
      <c r="I13" t="n">
        <v>0</v>
      </c>
      <c r="J13" s="4">
        <f>I13/B13</f>
        <v/>
      </c>
      <c r="K13" t="n">
        <v>0</v>
      </c>
      <c r="L13" s="4">
        <f>K13/B13</f>
        <v/>
      </c>
    </row>
    <row r="14">
      <c r="A14" s="5" t="inlineStr">
        <is>
          <t>TOTAL</t>
        </is>
      </c>
      <c r="B14" s="5">
        <f>SUM(B5:B13)</f>
        <v/>
      </c>
      <c r="C14" s="5">
        <f>SUM(C5:C13)</f>
        <v/>
      </c>
      <c r="D14" s="6">
        <f>C14/B14</f>
        <v/>
      </c>
      <c r="E14" s="5">
        <f>SUM(E5:E13)</f>
        <v/>
      </c>
      <c r="F14" s="6">
        <f>E14/B14</f>
        <v/>
      </c>
      <c r="G14" s="5">
        <f>SUM(G5:G13)</f>
        <v/>
      </c>
      <c r="H14" s="6">
        <f>G14/B14</f>
        <v/>
      </c>
      <c r="I14" s="5">
        <f>SUM(I5:I13)</f>
        <v/>
      </c>
      <c r="J14" s="6">
        <f>I14/B14</f>
        <v/>
      </c>
      <c r="K14" s="5">
        <f>SUM(K5:K13)</f>
        <v/>
      </c>
      <c r="L14" s="6">
        <f>K14/B14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30" customWidth="1" min="4" max="4"/>
    <col width="24" customWidth="1" min="5" max="5"/>
    <col width="24" customWidth="1" min="6" max="6"/>
    <col width="26" customWidth="1" min="7" max="7"/>
    <col width="24" customWidth="1" min="8" max="8"/>
    <col width="14" customWidth="1" min="9" max="9"/>
  </cols>
  <sheetData>
    <row r="1">
      <c r="A1" s="1" t="inlineStr">
        <is>
          <t>Neurotrophic Virus Screen — By Sample</t>
        </is>
      </c>
    </row>
    <row r="2">
      <c r="A2" s="2" t="inlineStr">
        <is>
          <t>Read counts, zero-threshold (bracken_raw). 0 = checked, not detected. Add rows as new cohorts land.</t>
        </is>
      </c>
    </row>
    <row r="4">
      <c r="A4" s="3" t="inlineStr">
        <is>
          <t>Cohort</t>
        </is>
      </c>
      <c r="B4" s="3" t="inlineStr">
        <is>
          <t>Sample</t>
        </is>
      </c>
      <c r="C4" s="3" t="inlineStr">
        <is>
          <t>HERV-K reads (45617)</t>
        </is>
      </c>
      <c r="D4" s="3" t="inlineStr">
        <is>
          <t>HSV-1 human reads (Simplexvirus humanalpha1, 3050292)</t>
        </is>
      </c>
      <c r="E4" s="3" t="inlineStr">
        <is>
          <t>Simplexvirus atelinealpha1 reads (3050138)</t>
        </is>
      </c>
      <c r="F4" s="3" t="inlineStr">
        <is>
          <t>Simplexvirus paninealpha3 reads (3050333)</t>
        </is>
      </c>
      <c r="G4" s="3" t="inlineStr">
        <is>
          <t>Rhadinovirus saimiriinegamma2 reads (3050350)</t>
        </is>
      </c>
      <c r="H4" s="3" t="inlineStr">
        <is>
          <t>AAV reads (Dependoparvovirus primate1, 1511891)</t>
        </is>
      </c>
      <c r="I4" s="3" t="inlineStr">
        <is>
          <t>Any detection of interest?</t>
        </is>
      </c>
    </row>
    <row r="5">
      <c r="A5" t="inlineStr">
        <is>
          <t>Watchmaker</t>
        </is>
      </c>
      <c r="B5" t="inlineStr">
        <is>
          <t>AO2</t>
        </is>
      </c>
      <c r="C5" t="n">
        <v>3445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>
        <f>IF(SUM(D5:H5)&gt;0,"YES","")</f>
        <v/>
      </c>
    </row>
    <row r="6">
      <c r="A6" t="inlineStr">
        <is>
          <t>Watchmaker</t>
        </is>
      </c>
      <c r="B6" t="inlineStr">
        <is>
          <t>AA8</t>
        </is>
      </c>
      <c r="C6" t="n">
        <v>3561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>
        <f>IF(SUM(D6:H6)&gt;0,"YES","")</f>
        <v/>
      </c>
    </row>
    <row r="7">
      <c r="A7" t="inlineStr">
        <is>
          <t>Watchmaker</t>
        </is>
      </c>
      <c r="B7" t="inlineStr">
        <is>
          <t>AA7</t>
        </is>
      </c>
      <c r="C7" t="n">
        <v>3582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>
        <f>IF(SUM(D7:H7)&gt;0,"YES","")</f>
        <v/>
      </c>
    </row>
    <row r="8">
      <c r="A8" t="inlineStr">
        <is>
          <t>Watchmaker</t>
        </is>
      </c>
      <c r="B8" t="inlineStr">
        <is>
          <t>AO3</t>
        </is>
      </c>
      <c r="C8" t="n">
        <v>2753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>
        <f>IF(SUM(D8:H8)&gt;0,"YES","")</f>
        <v/>
      </c>
    </row>
    <row r="9">
      <c r="A9" t="inlineStr">
        <is>
          <t>Watchmaker</t>
        </is>
      </c>
      <c r="B9" t="inlineStr">
        <is>
          <t>AO1</t>
        </is>
      </c>
      <c r="C9" t="n">
        <v>3031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>
        <f>IF(SUM(D9:H9)&gt;0,"YES","")</f>
        <v/>
      </c>
    </row>
    <row r="10">
      <c r="A10" t="inlineStr">
        <is>
          <t>Watchmaker</t>
        </is>
      </c>
      <c r="B10" t="inlineStr">
        <is>
          <t>AO6</t>
        </is>
      </c>
      <c r="C10" t="n">
        <v>1828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>
        <f>IF(SUM(D10:H10)&gt;0,"YES","")</f>
        <v/>
      </c>
    </row>
    <row r="11">
      <c r="A11" t="inlineStr">
        <is>
          <t>Watchmaker</t>
        </is>
      </c>
      <c r="B11" t="inlineStr">
        <is>
          <t>AO5</t>
        </is>
      </c>
      <c r="C11" t="n">
        <v>2726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>
        <f>IF(SUM(D11:H11)&gt;0,"YES","")</f>
        <v/>
      </c>
    </row>
    <row r="12">
      <c r="A12" t="inlineStr">
        <is>
          <t>Watchmaker</t>
        </is>
      </c>
      <c r="B12" t="inlineStr">
        <is>
          <t>AO4</t>
        </is>
      </c>
      <c r="C12" t="n">
        <v>2730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>
        <f>IF(SUM(D12:H12)&gt;0,"YES","")</f>
        <v/>
      </c>
    </row>
    <row r="13">
      <c r="A13" t="inlineStr">
        <is>
          <t>Watchmaker</t>
        </is>
      </c>
      <c r="B13" t="inlineStr">
        <is>
          <t>AO7</t>
        </is>
      </c>
      <c r="C13" t="n">
        <v>2697</v>
      </c>
      <c r="D13" t="n">
        <v>57</v>
      </c>
      <c r="E13" t="n">
        <v>0</v>
      </c>
      <c r="F13" t="n">
        <v>0</v>
      </c>
      <c r="G13" t="n">
        <v>0</v>
      </c>
      <c r="H13" t="n">
        <v>0</v>
      </c>
      <c r="I13">
        <f>IF(SUM(D13:H13)&gt;0,"YES","")</f>
        <v/>
      </c>
    </row>
    <row r="14">
      <c r="A14" t="inlineStr">
        <is>
          <t>Watchmaker</t>
        </is>
      </c>
      <c r="B14" t="inlineStr">
        <is>
          <t>AA6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>
        <f>IF(SUM(D14:H14)&gt;0,"YES","")</f>
        <v/>
      </c>
    </row>
    <row r="15">
      <c r="A15" t="inlineStr">
        <is>
          <t>Watchmaker</t>
        </is>
      </c>
      <c r="B15" t="inlineStr">
        <is>
          <t>AA2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>
        <f>IF(SUM(D15:H15)&gt;0,"YES","")</f>
        <v/>
      </c>
    </row>
    <row r="16">
      <c r="A16" t="inlineStr">
        <is>
          <t>Watchmaker</t>
        </is>
      </c>
      <c r="B16" t="inlineStr">
        <is>
          <t>AA1</t>
        </is>
      </c>
      <c r="C16" t="n">
        <v>1942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>
        <f>IF(SUM(D16:H16)&gt;0,"YES","")</f>
        <v/>
      </c>
    </row>
    <row r="17">
      <c r="A17" t="inlineStr">
        <is>
          <t>Watchmaker</t>
        </is>
      </c>
      <c r="B17" t="inlineStr">
        <is>
          <t>AA3</t>
        </is>
      </c>
      <c r="C17" t="n">
        <v>2191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>
        <f>IF(SUM(D17:H17)&gt;0,"YES","")</f>
        <v/>
      </c>
    </row>
    <row r="18">
      <c r="A18" t="inlineStr">
        <is>
          <t>Watchmaker</t>
        </is>
      </c>
      <c r="B18" t="inlineStr">
        <is>
          <t>AA4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>
        <f>IF(SUM(D18:H18)&gt;0,"YES","")</f>
        <v/>
      </c>
    </row>
    <row r="19">
      <c r="A19" t="inlineStr">
        <is>
          <t>Watchmaker</t>
        </is>
      </c>
      <c r="B19" t="inlineStr">
        <is>
          <t>AA5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>
        <f>IF(SUM(D19:H19)&gt;0,"YES","")</f>
        <v/>
      </c>
    </row>
    <row r="20">
      <c r="A20" t="inlineStr">
        <is>
          <t>Watchmaker</t>
        </is>
      </c>
      <c r="B20" t="inlineStr">
        <is>
          <t>AO8</t>
        </is>
      </c>
      <c r="C20" t="n">
        <v>3137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IF(SUM(D20:H20)&gt;0,"YES","")</f>
        <v/>
      </c>
    </row>
    <row r="21">
      <c r="A21" t="inlineStr">
        <is>
          <t>Watchmaker</t>
        </is>
      </c>
      <c r="B21" t="inlineStr">
        <is>
          <t>JOA2</t>
        </is>
      </c>
      <c r="C21" t="n">
        <v>3039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>
        <f>IF(SUM(D21:H21)&gt;0,"YES","")</f>
        <v/>
      </c>
    </row>
    <row r="22">
      <c r="A22" t="inlineStr">
        <is>
          <t>Watchmaker</t>
        </is>
      </c>
      <c r="B22" t="inlineStr">
        <is>
          <t>JOA3</t>
        </is>
      </c>
      <c r="C22" t="n">
        <v>1155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>
        <f>IF(SUM(D22:H22)&gt;0,"YES","")</f>
        <v/>
      </c>
    </row>
    <row r="23">
      <c r="A23" t="inlineStr">
        <is>
          <t>Watchmaker</t>
        </is>
      </c>
      <c r="B23" t="inlineStr">
        <is>
          <t>JOA1</t>
        </is>
      </c>
      <c r="C23" t="n">
        <v>3575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>
        <f>IF(SUM(D23:H23)&gt;0,"YES","")</f>
        <v/>
      </c>
    </row>
    <row r="24">
      <c r="A24" t="inlineStr">
        <is>
          <t>Watchmaker</t>
        </is>
      </c>
      <c r="B24" t="inlineStr">
        <is>
          <t>JOA6</t>
        </is>
      </c>
      <c r="C24" t="n">
        <v>1738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>
        <f>IF(SUM(D24:H24)&gt;0,"YES","")</f>
        <v/>
      </c>
    </row>
    <row r="25">
      <c r="A25" t="inlineStr">
        <is>
          <t>Watchmaker</t>
        </is>
      </c>
      <c r="B25" t="inlineStr">
        <is>
          <t>JOA7</t>
        </is>
      </c>
      <c r="C25" t="n">
        <v>557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>
        <f>IF(SUM(D25:H25)&gt;0,"YES","")</f>
        <v/>
      </c>
    </row>
    <row r="26">
      <c r="A26" t="inlineStr">
        <is>
          <t>Watchmaker</t>
        </is>
      </c>
      <c r="B26" t="inlineStr">
        <is>
          <t>JOA8</t>
        </is>
      </c>
      <c r="C26" t="n">
        <v>1389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>
        <f>IF(SUM(D26:H26)&gt;0,"YES","")</f>
        <v/>
      </c>
    </row>
    <row r="27">
      <c r="A27" t="inlineStr">
        <is>
          <t>Watchmaker</t>
        </is>
      </c>
      <c r="B27" t="inlineStr">
        <is>
          <t>JOA5</t>
        </is>
      </c>
      <c r="C27" t="n">
        <v>2754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>
        <f>IF(SUM(D27:H27)&gt;0,"YES","")</f>
        <v/>
      </c>
    </row>
    <row r="28">
      <c r="A28" t="inlineStr">
        <is>
          <t>Watchmaker</t>
        </is>
      </c>
      <c r="B28" t="inlineStr">
        <is>
          <t>JOA4</t>
        </is>
      </c>
      <c r="C28" t="n">
        <v>1272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>
        <f>IF(SUM(D28:H28)&gt;0,"YES","")</f>
        <v/>
      </c>
    </row>
    <row r="29">
      <c r="A29" t="inlineStr">
        <is>
          <t>adult_infant_soma_axon</t>
        </is>
      </c>
      <c r="B29" t="inlineStr">
        <is>
          <t>366-1</t>
        </is>
      </c>
      <c r="C29" t="n">
        <v>3531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>
        <f>IF(SUM(D29:H29)&gt;0,"YES","")</f>
        <v/>
      </c>
    </row>
    <row r="30">
      <c r="A30" t="inlineStr">
        <is>
          <t>adult_infant_soma_axon</t>
        </is>
      </c>
      <c r="B30" t="inlineStr">
        <is>
          <t>366-4</t>
        </is>
      </c>
      <c r="C30" t="n">
        <v>2576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>
        <f>IF(SUM(D30:H30)&gt;0,"YES","")</f>
        <v/>
      </c>
    </row>
    <row r="31">
      <c r="A31" t="inlineStr">
        <is>
          <t>adult_infant_soma_axon</t>
        </is>
      </c>
      <c r="B31" t="inlineStr">
        <is>
          <t>366-6</t>
        </is>
      </c>
      <c r="C31" t="n">
        <v>2761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>
        <f>IF(SUM(D31:H31)&gt;0,"YES","")</f>
        <v/>
      </c>
    </row>
    <row r="32">
      <c r="A32" t="inlineStr">
        <is>
          <t>adult_infant_soma_axon</t>
        </is>
      </c>
      <c r="B32" t="inlineStr">
        <is>
          <t>366-3</t>
        </is>
      </c>
      <c r="C32" t="n">
        <v>4442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>
        <f>IF(SUM(D32:H32)&gt;0,"YES","")</f>
        <v/>
      </c>
    </row>
    <row r="33">
      <c r="A33" t="inlineStr">
        <is>
          <t>adult_infant_soma_axon</t>
        </is>
      </c>
      <c r="B33" t="inlineStr">
        <is>
          <t>366-5</t>
        </is>
      </c>
      <c r="C33" t="n">
        <v>3934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>
        <f>IF(SUM(D33:H33)&gt;0,"YES","")</f>
        <v/>
      </c>
    </row>
    <row r="34">
      <c r="A34" t="inlineStr">
        <is>
          <t>adult_infant_soma_axon</t>
        </is>
      </c>
      <c r="B34" t="inlineStr">
        <is>
          <t>366-10</t>
        </is>
      </c>
      <c r="C34" t="n">
        <v>3073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>
        <f>IF(SUM(D34:H34)&gt;0,"YES","")</f>
        <v/>
      </c>
    </row>
    <row r="35">
      <c r="A35" t="inlineStr">
        <is>
          <t>adult_infant_soma_axon</t>
        </is>
      </c>
      <c r="B35" t="inlineStr">
        <is>
          <t>366-2</t>
        </is>
      </c>
      <c r="C35" t="n">
        <v>3620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>
        <f>IF(SUM(D35:H35)&gt;0,"YES","")</f>
        <v/>
      </c>
    </row>
    <row r="36">
      <c r="A36" t="inlineStr">
        <is>
          <t>adult_infant_soma_axon</t>
        </is>
      </c>
      <c r="B36" t="inlineStr">
        <is>
          <t>366-7</t>
        </is>
      </c>
      <c r="C36" t="n">
        <v>4019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>
        <f>IF(SUM(D36:H36)&gt;0,"YES","")</f>
        <v/>
      </c>
    </row>
    <row r="37">
      <c r="A37" t="inlineStr">
        <is>
          <t>adult_infant_soma_axon</t>
        </is>
      </c>
      <c r="B37" t="inlineStr">
        <is>
          <t>366-8</t>
        </is>
      </c>
      <c r="C37" t="n">
        <v>2958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>
        <f>IF(SUM(D37:H37)&gt;0,"YES","")</f>
        <v/>
      </c>
    </row>
    <row r="38">
      <c r="A38" t="inlineStr">
        <is>
          <t>adult_infant_soma_axon</t>
        </is>
      </c>
      <c r="B38" t="inlineStr">
        <is>
          <t>366-9</t>
        </is>
      </c>
      <c r="C38" t="n">
        <v>4971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>
        <f>IF(SUM(D38:H38)&gt;0,"YES","")</f>
        <v/>
      </c>
    </row>
    <row r="39">
      <c r="A39" t="inlineStr">
        <is>
          <t>Thoracic DRG</t>
        </is>
      </c>
      <c r="B39" t="inlineStr">
        <is>
          <t>104T8L</t>
        </is>
      </c>
      <c r="C39" t="n">
        <v>1996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>
        <f>IF(SUM(D39:H39)&gt;0,"YES","")</f>
        <v/>
      </c>
    </row>
    <row r="40">
      <c r="A40" t="inlineStr">
        <is>
          <t>Thoracic DRG</t>
        </is>
      </c>
      <c r="B40" t="inlineStr">
        <is>
          <t>101T5L</t>
        </is>
      </c>
      <c r="C40" t="n">
        <v>4940</v>
      </c>
      <c r="D40" t="n">
        <v>146</v>
      </c>
      <c r="E40" t="n">
        <v>0</v>
      </c>
      <c r="F40" t="n">
        <v>0</v>
      </c>
      <c r="G40" t="n">
        <v>0</v>
      </c>
      <c r="H40" t="n">
        <v>0</v>
      </c>
      <c r="I40">
        <f>IF(SUM(D40:H40)&gt;0,"YES","")</f>
        <v/>
      </c>
    </row>
    <row r="41">
      <c r="A41" t="inlineStr">
        <is>
          <t>Thoracic DRG</t>
        </is>
      </c>
      <c r="B41" t="inlineStr">
        <is>
          <t>105T8L</t>
        </is>
      </c>
      <c r="C41" t="n">
        <v>294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>
        <f>IF(SUM(D41:H41)&gt;0,"YES","")</f>
        <v/>
      </c>
    </row>
    <row r="42">
      <c r="A42" t="inlineStr">
        <is>
          <t>Thoracic DRG</t>
        </is>
      </c>
      <c r="B42" t="inlineStr">
        <is>
          <t>106T3L</t>
        </is>
      </c>
      <c r="C42" t="n">
        <v>7280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>
        <f>IF(SUM(D42:H42)&gt;0,"YES","")</f>
        <v/>
      </c>
    </row>
    <row r="43">
      <c r="A43" t="inlineStr">
        <is>
          <t>Thoracic DRG</t>
        </is>
      </c>
      <c r="B43" t="inlineStr">
        <is>
          <t>105T8R</t>
        </is>
      </c>
      <c r="C43" t="n">
        <v>3663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>
        <f>IF(SUM(D43:H43)&gt;0,"YES","")</f>
        <v/>
      </c>
    </row>
    <row r="44">
      <c r="A44" t="inlineStr">
        <is>
          <t>Thoracic DRG</t>
        </is>
      </c>
      <c r="B44" t="inlineStr">
        <is>
          <t>104T8R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>
        <f>IF(SUM(D44:H44)&gt;0,"YES","")</f>
        <v/>
      </c>
    </row>
    <row r="45">
      <c r="A45" t="inlineStr">
        <is>
          <t>Thoracic DRG</t>
        </is>
      </c>
      <c r="B45" t="inlineStr">
        <is>
          <t>111T9R</t>
        </is>
      </c>
      <c r="C45" t="n">
        <v>958</v>
      </c>
      <c r="D45" t="n">
        <v>0</v>
      </c>
      <c r="E45" t="n">
        <v>18</v>
      </c>
      <c r="F45" t="n">
        <v>0</v>
      </c>
      <c r="G45" t="n">
        <v>0</v>
      </c>
      <c r="H45" t="n">
        <v>0</v>
      </c>
      <c r="I45">
        <f>IF(SUM(D45:H45)&gt;0,"YES","")</f>
        <v/>
      </c>
    </row>
    <row r="46">
      <c r="A46" t="inlineStr">
        <is>
          <t>Thoracic DRG</t>
        </is>
      </c>
      <c r="B46" t="inlineStr">
        <is>
          <t>106T3R</t>
        </is>
      </c>
      <c r="C46" t="n">
        <v>794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>
        <f>IF(SUM(D46:H46)&gt;0,"YES","")</f>
        <v/>
      </c>
    </row>
    <row r="47">
      <c r="A47" t="inlineStr">
        <is>
          <t>Thoracic DRG</t>
        </is>
      </c>
      <c r="B47" t="inlineStr">
        <is>
          <t>113T2R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>
        <f>IF(SUM(D47:H47)&gt;0,"YES","")</f>
        <v/>
      </c>
    </row>
    <row r="48">
      <c r="A48" t="inlineStr">
        <is>
          <t>Thoracic DRG</t>
        </is>
      </c>
      <c r="B48" t="inlineStr">
        <is>
          <t>115T7R</t>
        </is>
      </c>
      <c r="C48" t="n">
        <v>604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>
        <f>IF(SUM(D48:H48)&gt;0,"YES","")</f>
        <v/>
      </c>
    </row>
    <row r="49">
      <c r="A49" t="inlineStr">
        <is>
          <t>Thoracic DRG</t>
        </is>
      </c>
      <c r="B49" t="inlineStr">
        <is>
          <t>114T11L</t>
        </is>
      </c>
      <c r="C49" t="n">
        <v>2189</v>
      </c>
      <c r="D49" t="n">
        <v>0</v>
      </c>
      <c r="E49" t="n">
        <v>0</v>
      </c>
      <c r="F49" t="n">
        <v>0</v>
      </c>
      <c r="G49" t="n">
        <v>0</v>
      </c>
      <c r="H49" t="n">
        <v>17</v>
      </c>
      <c r="I49">
        <f>IF(SUM(D49:H49)&gt;0,"YES","")</f>
        <v/>
      </c>
    </row>
    <row r="50">
      <c r="A50" t="inlineStr">
        <is>
          <t>Thoracic DRG</t>
        </is>
      </c>
      <c r="B50" t="inlineStr">
        <is>
          <t>109T3</t>
        </is>
      </c>
      <c r="C50" t="n">
        <v>13228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>
        <f>IF(SUM(D50:H50)&gt;0,"YES","")</f>
        <v/>
      </c>
    </row>
    <row r="51">
      <c r="A51" t="inlineStr">
        <is>
          <t>Thoracic DRG</t>
        </is>
      </c>
      <c r="B51" t="inlineStr">
        <is>
          <t>116TR5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>
        <f>IF(SUM(D51:H51)&gt;0,"YES","")</f>
        <v/>
      </c>
    </row>
    <row r="52">
      <c r="A52" t="inlineStr">
        <is>
          <t>Thoracic DRG</t>
        </is>
      </c>
      <c r="B52" t="inlineStr">
        <is>
          <t>115T8L</t>
        </is>
      </c>
      <c r="C52" t="n">
        <v>891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>
        <f>IF(SUM(D52:H52)&gt;0,"YES","")</f>
        <v/>
      </c>
    </row>
    <row r="53">
      <c r="A53" t="inlineStr">
        <is>
          <t>Thoracic DRG</t>
        </is>
      </c>
      <c r="B53" t="inlineStr">
        <is>
          <t>80T2R</t>
        </is>
      </c>
      <c r="C53" t="n">
        <v>4563</v>
      </c>
      <c r="D53" t="n">
        <v>38</v>
      </c>
      <c r="E53" t="n">
        <v>58</v>
      </c>
      <c r="F53" t="n">
        <v>0</v>
      </c>
      <c r="G53" t="n">
        <v>0</v>
      </c>
      <c r="H53" t="n">
        <v>0</v>
      </c>
      <c r="I53">
        <f>IF(SUM(D53:H53)&gt;0,"YES","")</f>
        <v/>
      </c>
    </row>
    <row r="54">
      <c r="A54" t="inlineStr">
        <is>
          <t>Thoracic DRG</t>
        </is>
      </c>
      <c r="B54" t="inlineStr">
        <is>
          <t>117T7L</t>
        </is>
      </c>
      <c r="C54" t="n">
        <v>311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>
        <f>IF(SUM(D54:H54)&gt;0,"YES","")</f>
        <v/>
      </c>
    </row>
    <row r="55">
      <c r="A55" t="inlineStr">
        <is>
          <t>Thoracic DRG</t>
        </is>
      </c>
      <c r="B55" t="inlineStr">
        <is>
          <t>117T7R</t>
        </is>
      </c>
      <c r="C55" t="n">
        <v>328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>
        <f>IF(SUM(D55:H55)&gt;0,"YES","")</f>
        <v/>
      </c>
    </row>
    <row r="56">
      <c r="A56" t="inlineStr">
        <is>
          <t>Thoracic DRG</t>
        </is>
      </c>
      <c r="B56" t="inlineStr">
        <is>
          <t>84T5R</t>
        </is>
      </c>
      <c r="C56" t="n">
        <v>1790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>
        <f>IF(SUM(D56:H56)&gt;0,"YES","")</f>
        <v/>
      </c>
    </row>
    <row r="57">
      <c r="A57" t="inlineStr">
        <is>
          <t>Thoracic DRG</t>
        </is>
      </c>
      <c r="B57" t="inlineStr">
        <is>
          <t>83T8R</t>
        </is>
      </c>
      <c r="C57" t="n">
        <v>851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>
        <f>IF(SUM(D57:H57)&gt;0,"YES","")</f>
        <v/>
      </c>
    </row>
    <row r="58">
      <c r="A58" t="inlineStr">
        <is>
          <t>Thoracic DRG</t>
        </is>
      </c>
      <c r="B58" t="inlineStr">
        <is>
          <t>118T8R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>
        <f>IF(SUM(D58:H58)&gt;0,"YES","")</f>
        <v/>
      </c>
    </row>
    <row r="59">
      <c r="A59" t="inlineStr">
        <is>
          <t>Thoracic DRG</t>
        </is>
      </c>
      <c r="B59" t="inlineStr">
        <is>
          <t>84T8L</t>
        </is>
      </c>
      <c r="C59" t="n">
        <v>6302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>
        <f>IF(SUM(D59:H59)&gt;0,"YES","")</f>
        <v/>
      </c>
    </row>
    <row r="60">
      <c r="A60" t="inlineStr">
        <is>
          <t>Thoracic DRG</t>
        </is>
      </c>
      <c r="B60" t="inlineStr">
        <is>
          <t>85T3R</t>
        </is>
      </c>
      <c r="C60" t="n">
        <v>1507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>
        <f>IF(SUM(D60:H60)&gt;0,"YES","")</f>
        <v/>
      </c>
    </row>
    <row r="61">
      <c r="A61" t="inlineStr">
        <is>
          <t>Thoracic DRG</t>
        </is>
      </c>
      <c r="B61" t="inlineStr">
        <is>
          <t>85T3L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>
        <f>IF(SUM(D61:H61)&gt;0,"YES","")</f>
        <v/>
      </c>
    </row>
    <row r="62">
      <c r="A62" t="inlineStr">
        <is>
          <t>Thoracic DRG</t>
        </is>
      </c>
      <c r="B62" t="inlineStr">
        <is>
          <t>114T12R</t>
        </is>
      </c>
      <c r="C62" t="n">
        <v>1789</v>
      </c>
      <c r="D62" t="n">
        <v>0</v>
      </c>
      <c r="E62" t="n">
        <v>25</v>
      </c>
      <c r="F62" t="n">
        <v>0</v>
      </c>
      <c r="G62" t="n">
        <v>0</v>
      </c>
      <c r="H62" t="n">
        <v>0</v>
      </c>
      <c r="I62">
        <f>IF(SUM(D62:H62)&gt;0,"YES","")</f>
        <v/>
      </c>
    </row>
    <row r="63">
      <c r="A63" t="inlineStr">
        <is>
          <t>mgoexplant_saad</t>
        </is>
      </c>
      <c r="B63" t="inlineStr">
        <is>
          <t>Saad-2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>
        <f>IF(SUM(D63:H63)&gt;0,"YES","")</f>
        <v/>
      </c>
    </row>
    <row r="64">
      <c r="A64" t="inlineStr">
        <is>
          <t>mgoexplant_saad</t>
        </is>
      </c>
      <c r="B64" t="inlineStr">
        <is>
          <t>Saad-1</t>
        </is>
      </c>
      <c r="C64" t="n">
        <v>4117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>
        <f>IF(SUM(D64:H64)&gt;0,"YES","")</f>
        <v/>
      </c>
    </row>
    <row r="65">
      <c r="A65" t="inlineStr">
        <is>
          <t>mgoexplant_saad</t>
        </is>
      </c>
      <c r="B65" t="inlineStr">
        <is>
          <t>Saad-3</t>
        </is>
      </c>
      <c r="C65" t="n">
        <v>5272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>
        <f>IF(SUM(D65:H65)&gt;0,"YES","")</f>
        <v/>
      </c>
    </row>
    <row r="66">
      <c r="A66" t="inlineStr">
        <is>
          <t>mgoexplant_saad</t>
        </is>
      </c>
      <c r="B66" t="inlineStr">
        <is>
          <t>Saad-5</t>
        </is>
      </c>
      <c r="C66" t="n">
        <v>1759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>
        <f>IF(SUM(D66:H66)&gt;0,"YES","")</f>
        <v/>
      </c>
    </row>
    <row r="67">
      <c r="A67" t="inlineStr">
        <is>
          <t>mgoexplant_saad</t>
        </is>
      </c>
      <c r="B67" t="inlineStr">
        <is>
          <t>Saad-4</t>
        </is>
      </c>
      <c r="C67" t="n">
        <v>2474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>
        <f>IF(SUM(D67:H67)&gt;0,"YES","")</f>
        <v/>
      </c>
    </row>
    <row r="68">
      <c r="A68" t="inlineStr">
        <is>
          <t>mgoexplant_saad</t>
        </is>
      </c>
      <c r="B68" t="inlineStr">
        <is>
          <t>Saad-6</t>
        </is>
      </c>
      <c r="C68" t="n">
        <v>7855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>
        <f>IF(SUM(D68:H68)&gt;0,"YES","")</f>
        <v/>
      </c>
    </row>
    <row r="69">
      <c r="A69" t="inlineStr">
        <is>
          <t>tg_2018_emma_nih</t>
        </is>
      </c>
      <c r="B69" t="inlineStr">
        <is>
          <t>SRR5850224</t>
        </is>
      </c>
      <c r="C69" t="n">
        <v>1175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>
        <f>IF(SUM(D69:H69)&gt;0,"YES","")</f>
        <v/>
      </c>
    </row>
    <row r="70">
      <c r="A70" t="inlineStr">
        <is>
          <t>tg_2018_emma_nih</t>
        </is>
      </c>
      <c r="B70" t="inlineStr">
        <is>
          <t>SRR5850220</t>
        </is>
      </c>
      <c r="C70" t="n">
        <v>1016</v>
      </c>
      <c r="D70" t="n">
        <v>33</v>
      </c>
      <c r="E70" t="n">
        <v>0</v>
      </c>
      <c r="F70" t="n">
        <v>0</v>
      </c>
      <c r="G70" t="n">
        <v>0</v>
      </c>
      <c r="H70" t="n">
        <v>0</v>
      </c>
      <c r="I70">
        <f>IF(SUM(D70:H70)&gt;0,"YES","")</f>
        <v/>
      </c>
    </row>
    <row r="71">
      <c r="A71" t="inlineStr">
        <is>
          <t>tg_2018_emma_nih</t>
        </is>
      </c>
      <c r="B71" t="inlineStr">
        <is>
          <t>SRR5850235</t>
        </is>
      </c>
      <c r="C71" t="n">
        <v>1200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>
        <f>IF(SUM(D71:H71)&gt;0,"YES","")</f>
        <v/>
      </c>
    </row>
    <row r="72">
      <c r="A72" t="inlineStr">
        <is>
          <t>tg_2018_emma_nih</t>
        </is>
      </c>
      <c r="B72" t="inlineStr">
        <is>
          <t>SRR5850232</t>
        </is>
      </c>
      <c r="C72" t="n">
        <v>1064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>
        <f>IF(SUM(D72:H72)&gt;0,"YES","")</f>
        <v/>
      </c>
    </row>
    <row r="73">
      <c r="A73" t="inlineStr">
        <is>
          <t>tg_2018_emma_nih</t>
        </is>
      </c>
      <c r="B73" t="inlineStr">
        <is>
          <t>SRR5850223</t>
        </is>
      </c>
      <c r="C73" t="n">
        <v>1008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>
        <f>IF(SUM(D73:H73)&gt;0,"YES","")</f>
        <v/>
      </c>
    </row>
    <row r="74">
      <c r="A74" t="inlineStr">
        <is>
          <t>tg_2018_emma_nih</t>
        </is>
      </c>
      <c r="B74" t="inlineStr">
        <is>
          <t>SRR5850229</t>
        </is>
      </c>
      <c r="C74" t="n">
        <v>951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>
        <f>IF(SUM(D74:H74)&gt;0,"YES","")</f>
        <v/>
      </c>
    </row>
    <row r="75">
      <c r="A75" t="inlineStr">
        <is>
          <t>tg_2018_emma_nih</t>
        </is>
      </c>
      <c r="B75" t="inlineStr">
        <is>
          <t>SRR5850230</t>
        </is>
      </c>
      <c r="C75" t="n">
        <v>673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>
        <f>IF(SUM(D75:H75)&gt;0,"YES","")</f>
        <v/>
      </c>
    </row>
    <row r="76">
      <c r="A76" t="inlineStr">
        <is>
          <t>tg_2018_emma_nih</t>
        </is>
      </c>
      <c r="B76" t="inlineStr">
        <is>
          <t>SRR5850234</t>
        </is>
      </c>
      <c r="C76" t="n">
        <v>621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>
        <f>IF(SUM(D76:H76)&gt;0,"YES","")</f>
        <v/>
      </c>
    </row>
    <row r="77">
      <c r="A77" t="inlineStr">
        <is>
          <t>tg_2018_emma_nih</t>
        </is>
      </c>
      <c r="B77" t="inlineStr">
        <is>
          <t>SRR5850225</t>
        </is>
      </c>
      <c r="C77" t="n">
        <v>1299</v>
      </c>
      <c r="D77" t="n">
        <v>392</v>
      </c>
      <c r="E77" t="n">
        <v>0</v>
      </c>
      <c r="F77" t="n">
        <v>0</v>
      </c>
      <c r="G77" t="n">
        <v>0</v>
      </c>
      <c r="H77" t="n">
        <v>0</v>
      </c>
      <c r="I77">
        <f>IF(SUM(D77:H77)&gt;0,"YES","")</f>
        <v/>
      </c>
    </row>
    <row r="78">
      <c r="A78" t="inlineStr">
        <is>
          <t>tg_2018_emma_nih</t>
        </is>
      </c>
      <c r="B78" t="inlineStr">
        <is>
          <t>SRR5850221</t>
        </is>
      </c>
      <c r="C78" t="n">
        <v>1176</v>
      </c>
      <c r="D78" t="n">
        <v>14</v>
      </c>
      <c r="E78" t="n">
        <v>0</v>
      </c>
      <c r="F78" t="n">
        <v>0</v>
      </c>
      <c r="G78" t="n">
        <v>0</v>
      </c>
      <c r="H78" t="n">
        <v>0</v>
      </c>
      <c r="I78">
        <f>IF(SUM(D78:H78)&gt;0,"YES","")</f>
        <v/>
      </c>
    </row>
    <row r="79">
      <c r="A79" t="inlineStr">
        <is>
          <t>tg_2018_emma_nih</t>
        </is>
      </c>
      <c r="B79" t="inlineStr">
        <is>
          <t>SRR5850231</t>
        </is>
      </c>
      <c r="C79" t="n">
        <v>1133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>
        <f>IF(SUM(D79:H79)&gt;0,"YES","")</f>
        <v/>
      </c>
    </row>
    <row r="80">
      <c r="A80" t="inlineStr">
        <is>
          <t>tg_2018_emma_nih</t>
        </is>
      </c>
      <c r="B80" t="inlineStr">
        <is>
          <t>SRR5850226</t>
        </is>
      </c>
      <c r="C80" t="n">
        <v>905</v>
      </c>
      <c r="D80" t="n">
        <v>11</v>
      </c>
      <c r="E80" t="n">
        <v>0</v>
      </c>
      <c r="F80" t="n">
        <v>0</v>
      </c>
      <c r="G80" t="n">
        <v>0</v>
      </c>
      <c r="H80" t="n">
        <v>0</v>
      </c>
      <c r="I80">
        <f>IF(SUM(D80:H80)&gt;0,"YES","")</f>
        <v/>
      </c>
    </row>
    <row r="81">
      <c r="A81" t="inlineStr">
        <is>
          <t>tg_2018_emma_nih</t>
        </is>
      </c>
      <c r="B81" t="inlineStr">
        <is>
          <t>SRR5850222</t>
        </is>
      </c>
      <c r="C81" t="n">
        <v>711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>
        <f>IF(SUM(D81:H81)&gt;0,"YES","")</f>
        <v/>
      </c>
    </row>
    <row r="82">
      <c r="A82" t="inlineStr">
        <is>
          <t>tg_2018_emma_nih</t>
        </is>
      </c>
      <c r="B82" t="inlineStr">
        <is>
          <t>SRR5850228</t>
        </is>
      </c>
      <c r="C82" t="n">
        <v>1855</v>
      </c>
      <c r="D82" t="n">
        <v>467</v>
      </c>
      <c r="E82" t="n">
        <v>0</v>
      </c>
      <c r="F82" t="n">
        <v>0</v>
      </c>
      <c r="G82" t="n">
        <v>0</v>
      </c>
      <c r="H82" t="n">
        <v>0</v>
      </c>
      <c r="I82">
        <f>IF(SUM(D82:H82)&gt;0,"YES","")</f>
        <v/>
      </c>
    </row>
    <row r="83">
      <c r="A83" t="inlineStr">
        <is>
          <t>tg_2018_emma_nih</t>
        </is>
      </c>
      <c r="B83" t="inlineStr">
        <is>
          <t>SRR5850233</t>
        </is>
      </c>
      <c r="C83" t="n">
        <v>783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>
        <f>IF(SUM(D83:H83)&gt;0,"YES","")</f>
        <v/>
      </c>
    </row>
    <row r="84">
      <c r="A84" t="inlineStr">
        <is>
          <t>tg_2018_emma_nih</t>
        </is>
      </c>
      <c r="B84" t="inlineStr">
        <is>
          <t>SRR5850227</t>
        </is>
      </c>
      <c r="C84" t="n">
        <v>1258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>
        <f>IF(SUM(D84:H84)&gt;0,"YES","")</f>
        <v/>
      </c>
    </row>
    <row r="85">
      <c r="A85" t="inlineStr">
        <is>
          <t>osmcultured_juliet</t>
        </is>
      </c>
      <c r="B85" t="inlineStr">
        <is>
          <t>366-11</t>
        </is>
      </c>
      <c r="C85" t="n">
        <v>1443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>
        <f>IF(SUM(D85:H85)&gt;0,"YES","")</f>
        <v/>
      </c>
    </row>
    <row r="86">
      <c r="A86" t="inlineStr">
        <is>
          <t>osmcultured_juliet</t>
        </is>
      </c>
      <c r="B86" t="inlineStr">
        <is>
          <t>366-15</t>
        </is>
      </c>
      <c r="C86" t="n">
        <v>781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>
        <f>IF(SUM(D86:H86)&gt;0,"YES","")</f>
        <v/>
      </c>
    </row>
    <row r="87">
      <c r="A87" t="inlineStr">
        <is>
          <t>osmcultured_juliet</t>
        </is>
      </c>
      <c r="B87" t="inlineStr">
        <is>
          <t>366-12</t>
        </is>
      </c>
      <c r="C87" t="n">
        <v>1067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>
        <f>IF(SUM(D87:H87)&gt;0,"YES","")</f>
        <v/>
      </c>
    </row>
    <row r="88">
      <c r="A88" t="inlineStr">
        <is>
          <t>osmcultured_juliet</t>
        </is>
      </c>
      <c r="B88" t="inlineStr">
        <is>
          <t>366-13</t>
        </is>
      </c>
      <c r="C88" t="n">
        <v>1011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>
        <f>IF(SUM(D88:H88)&gt;0,"YES","")</f>
        <v/>
      </c>
    </row>
    <row r="89">
      <c r="A89" t="inlineStr">
        <is>
          <t>osmcultured_juliet</t>
        </is>
      </c>
      <c r="B89" t="inlineStr">
        <is>
          <t>366-16</t>
        </is>
      </c>
      <c r="C89" t="n">
        <v>1416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>
        <f>IF(SUM(D89:H89)&gt;0,"YES","")</f>
        <v/>
      </c>
    </row>
    <row r="90">
      <c r="A90" t="inlineStr">
        <is>
          <t>osmcultured_juliet</t>
        </is>
      </c>
      <c r="B90" t="inlineStr">
        <is>
          <t>366-14</t>
        </is>
      </c>
      <c r="C90" t="n">
        <v>1415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>
        <f>IF(SUM(D90:H90)&gt;0,"YES","")</f>
        <v/>
      </c>
    </row>
    <row r="91">
      <c r="A91" t="inlineStr">
        <is>
          <t>rejoin_jayden</t>
        </is>
      </c>
      <c r="B91" t="inlineStr">
        <is>
          <t>473-13</t>
        </is>
      </c>
      <c r="C91" t="n">
        <v>4747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>
        <f>IF(SUM(D91:H91)&gt;0,"YES","")</f>
        <v/>
      </c>
    </row>
    <row r="92">
      <c r="A92" t="inlineStr">
        <is>
          <t>rejoin_jayden</t>
        </is>
      </c>
      <c r="B92" t="inlineStr">
        <is>
          <t>473-17</t>
        </is>
      </c>
      <c r="C92" t="n">
        <v>8034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>
        <f>IF(SUM(D92:H92)&gt;0,"YES","")</f>
        <v/>
      </c>
    </row>
    <row r="93">
      <c r="A93" t="inlineStr">
        <is>
          <t>rejoin_jayden</t>
        </is>
      </c>
      <c r="B93" t="inlineStr">
        <is>
          <t>473-5</t>
        </is>
      </c>
      <c r="C93" t="n">
        <v>5957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>
        <f>IF(SUM(D93:H93)&gt;0,"YES","")</f>
        <v/>
      </c>
    </row>
    <row r="94">
      <c r="A94" t="inlineStr">
        <is>
          <t>rejoin_jayden</t>
        </is>
      </c>
      <c r="B94" t="inlineStr">
        <is>
          <t>473-2</t>
        </is>
      </c>
      <c r="C94" t="n">
        <v>6006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>
        <f>IF(SUM(D94:H94)&gt;0,"YES","")</f>
        <v/>
      </c>
    </row>
    <row r="95">
      <c r="A95" t="inlineStr">
        <is>
          <t>rejoin_jayden</t>
        </is>
      </c>
      <c r="B95" t="inlineStr">
        <is>
          <t>473-16</t>
        </is>
      </c>
      <c r="C95" t="n">
        <v>5798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>
        <f>IF(SUM(D95:H95)&gt;0,"YES","")</f>
        <v/>
      </c>
    </row>
    <row r="96">
      <c r="A96" t="inlineStr">
        <is>
          <t>rejoin_jayden</t>
        </is>
      </c>
      <c r="B96" t="inlineStr">
        <is>
          <t>473-14</t>
        </is>
      </c>
      <c r="C96" t="n">
        <v>4239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>
        <f>IF(SUM(D96:H96)&gt;0,"YES","")</f>
        <v/>
      </c>
    </row>
    <row r="97">
      <c r="A97" t="inlineStr">
        <is>
          <t>rejoin_jayden</t>
        </is>
      </c>
      <c r="B97" t="inlineStr">
        <is>
          <t>473-3</t>
        </is>
      </c>
      <c r="C97" t="n">
        <v>5558</v>
      </c>
      <c r="D97" t="n">
        <v>48</v>
      </c>
      <c r="E97" t="n">
        <v>0</v>
      </c>
      <c r="F97" t="n">
        <v>0</v>
      </c>
      <c r="G97" t="n">
        <v>0</v>
      </c>
      <c r="H97" t="n">
        <v>0</v>
      </c>
      <c r="I97">
        <f>IF(SUM(D97:H97)&gt;0,"YES","")</f>
        <v/>
      </c>
    </row>
    <row r="98">
      <c r="A98" t="inlineStr">
        <is>
          <t>rejoin_jayden</t>
        </is>
      </c>
      <c r="B98" t="inlineStr">
        <is>
          <t>473-7</t>
        </is>
      </c>
      <c r="C98" t="n">
        <v>5991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>
        <f>IF(SUM(D98:H98)&gt;0,"YES","")</f>
        <v/>
      </c>
    </row>
    <row r="99">
      <c r="A99" t="inlineStr">
        <is>
          <t>rejoin_jayden</t>
        </is>
      </c>
      <c r="B99" t="inlineStr">
        <is>
          <t>473-6</t>
        </is>
      </c>
      <c r="C99" t="n">
        <v>6875</v>
      </c>
      <c r="D99" t="n">
        <v>0</v>
      </c>
      <c r="E99" t="n">
        <v>0</v>
      </c>
      <c r="F99" t="n">
        <v>0</v>
      </c>
      <c r="G99" t="n">
        <v>14</v>
      </c>
      <c r="H99" t="n">
        <v>0</v>
      </c>
      <c r="I99">
        <f>IF(SUM(D99:H99)&gt;0,"YES","")</f>
        <v/>
      </c>
    </row>
    <row r="100">
      <c r="A100" t="inlineStr">
        <is>
          <t>rejoin_jayden</t>
        </is>
      </c>
      <c r="B100" t="inlineStr">
        <is>
          <t>473-10</t>
        </is>
      </c>
      <c r="C100" t="n">
        <v>4797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>
        <f>IF(SUM(D100:H100)&gt;0,"YES","")</f>
        <v/>
      </c>
    </row>
    <row r="101">
      <c r="A101" t="inlineStr">
        <is>
          <t>rejoin_jayden</t>
        </is>
      </c>
      <c r="B101" t="inlineStr">
        <is>
          <t>473-8</t>
        </is>
      </c>
      <c r="C101" t="n">
        <v>10700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>
        <f>IF(SUM(D101:H101)&gt;0,"YES","")</f>
        <v/>
      </c>
    </row>
    <row r="102">
      <c r="A102" t="inlineStr">
        <is>
          <t>rejoin_jayden</t>
        </is>
      </c>
      <c r="B102" t="inlineStr">
        <is>
          <t>473-9</t>
        </is>
      </c>
      <c r="C102" t="n">
        <v>5438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>
        <f>IF(SUM(D102:H102)&gt;0,"YES","")</f>
        <v/>
      </c>
    </row>
    <row r="103">
      <c r="A103" t="inlineStr">
        <is>
          <t>rejoin_jayden</t>
        </is>
      </c>
      <c r="B103" t="inlineStr">
        <is>
          <t>473-11</t>
        </is>
      </c>
      <c r="C103" t="n">
        <v>5115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>
        <f>IF(SUM(D103:H103)&gt;0,"YES","")</f>
        <v/>
      </c>
    </row>
    <row r="104">
      <c r="A104" t="inlineStr">
        <is>
          <t>rejoin_jayden</t>
        </is>
      </c>
      <c r="B104" t="inlineStr">
        <is>
          <t>473-1</t>
        </is>
      </c>
      <c r="C104" t="n">
        <v>4977</v>
      </c>
      <c r="D104" t="n">
        <v>0</v>
      </c>
      <c r="E104" t="n">
        <v>0</v>
      </c>
      <c r="F104" t="n">
        <v>48</v>
      </c>
      <c r="G104" t="n">
        <v>0</v>
      </c>
      <c r="H104" t="n">
        <v>0</v>
      </c>
      <c r="I104">
        <f>IF(SUM(D104:H104)&gt;0,"YES","")</f>
        <v/>
      </c>
    </row>
    <row r="105">
      <c r="A105" t="inlineStr">
        <is>
          <t>rejoin_jayden</t>
        </is>
      </c>
      <c r="B105" t="inlineStr">
        <is>
          <t>473-15</t>
        </is>
      </c>
      <c r="C105" t="n">
        <v>7031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>
        <f>IF(SUM(D105:H105)&gt;0,"YES","")</f>
        <v/>
      </c>
    </row>
    <row r="106">
      <c r="A106" t="inlineStr">
        <is>
          <t>rejoin_jayden</t>
        </is>
      </c>
      <c r="B106" t="inlineStr">
        <is>
          <t>473-12</t>
        </is>
      </c>
      <c r="C106" t="n">
        <v>6773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>
        <f>IF(SUM(D106:H106)&gt;0,"YES","")</f>
        <v/>
      </c>
    </row>
    <row r="107">
      <c r="A107" t="inlineStr">
        <is>
          <t>rejoin_jayden</t>
        </is>
      </c>
      <c r="B107" t="inlineStr">
        <is>
          <t>473-4</t>
        </is>
      </c>
      <c r="C107" t="n">
        <v>5377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>
        <f>IF(SUM(D107:H107)&gt;0,"YES","")</f>
        <v/>
      </c>
    </row>
    <row r="108">
      <c r="A108" t="inlineStr">
        <is>
          <t>dpn_ra_kulkarni</t>
        </is>
      </c>
      <c r="B108" t="inlineStr">
        <is>
          <t>2AC1</t>
        </is>
      </c>
      <c r="C108" t="n">
        <v>3611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>
        <f>IF(SUM(D108:H108)&gt;0,"YES","")</f>
        <v/>
      </c>
    </row>
    <row r="109">
      <c r="A109" t="inlineStr">
        <is>
          <t>dpn_ra_kulkarni</t>
        </is>
      </c>
      <c r="B109" t="inlineStr">
        <is>
          <t>L1V1</t>
        </is>
      </c>
      <c r="C109" t="n">
        <v>3429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>
        <f>IF(SUM(D109:H109)&gt;0,"YES","")</f>
        <v/>
      </c>
    </row>
    <row r="110">
      <c r="A110" t="inlineStr">
        <is>
          <t>dpn_ra_kulkarni</t>
        </is>
      </c>
      <c r="B110" t="inlineStr">
        <is>
          <t>N4N2</t>
        </is>
      </c>
      <c r="C110" t="n">
        <v>3107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>
        <f>IF(SUM(D110:H110)&gt;0,"YES","")</f>
        <v/>
      </c>
    </row>
    <row r="111">
      <c r="A111" t="inlineStr">
        <is>
          <t>dpn_ra_kulkarni</t>
        </is>
      </c>
      <c r="B111" t="inlineStr">
        <is>
          <t>CA7A2</t>
        </is>
      </c>
      <c r="C111" t="n">
        <v>6237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>
        <f>IF(SUM(D111:H111)&gt;0,"YES","")</f>
        <v/>
      </c>
    </row>
    <row r="112">
      <c r="A112" t="inlineStr">
        <is>
          <t>dpn_ra_kulkarni</t>
        </is>
      </c>
      <c r="B112" t="inlineStr">
        <is>
          <t>G1NB2</t>
        </is>
      </c>
      <c r="C112" t="n">
        <v>4841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>
        <f>IF(SUM(D112:H112)&gt;0,"YES","")</f>
        <v/>
      </c>
    </row>
    <row r="113">
      <c r="A113" t="inlineStr">
        <is>
          <t>dpn_ra_kulkarni</t>
        </is>
      </c>
      <c r="B113" t="inlineStr">
        <is>
          <t>4LIB2</t>
        </is>
      </c>
      <c r="C113" t="n">
        <v>4576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>
        <f>IF(SUM(D113:H113)&gt;0,"YES","")</f>
        <v/>
      </c>
    </row>
    <row r="114">
      <c r="A114" t="inlineStr">
        <is>
          <t>dpn_ra_kulkarni</t>
        </is>
      </c>
      <c r="B114" t="inlineStr">
        <is>
          <t>CA7B1</t>
        </is>
      </c>
      <c r="C114" t="n">
        <v>6109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>
        <f>IF(SUM(D114:H114)&gt;0,"YES","")</f>
        <v/>
      </c>
    </row>
    <row r="115">
      <c r="A115" t="inlineStr">
        <is>
          <t>dpn_ra_kulkarni</t>
        </is>
      </c>
      <c r="B115" t="inlineStr">
        <is>
          <t>FL0B1</t>
        </is>
      </c>
      <c r="C115" t="n">
        <v>4815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>
        <f>IF(SUM(D115:H115)&gt;0,"YES","")</f>
        <v/>
      </c>
    </row>
    <row r="116">
      <c r="A116" t="inlineStr">
        <is>
          <t>dpn_ra_kulkarni</t>
        </is>
      </c>
      <c r="B116" t="inlineStr">
        <is>
          <t>JE81</t>
        </is>
      </c>
      <c r="C116" t="n">
        <v>3550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>
        <f>IF(SUM(D116:H116)&gt;0,"YES","")</f>
        <v/>
      </c>
    </row>
    <row r="117">
      <c r="A117" t="inlineStr">
        <is>
          <t>dpn_ra_kulkarni</t>
        </is>
      </c>
      <c r="B117" t="inlineStr">
        <is>
          <t>WE52</t>
        </is>
      </c>
      <c r="C117" t="n">
        <v>2915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>
        <f>IF(SUM(D117:H117)&gt;0,"YES","")</f>
        <v/>
      </c>
    </row>
    <row r="118">
      <c r="A118" t="inlineStr">
        <is>
          <t>dpn_ra_kulkarni</t>
        </is>
      </c>
      <c r="B118" t="inlineStr">
        <is>
          <t>G1NA1</t>
        </is>
      </c>
      <c r="C118" t="n">
        <v>5841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>
        <f>IF(SUM(D118:H118)&gt;0,"YES","")</f>
        <v/>
      </c>
    </row>
    <row r="119">
      <c r="A119" t="inlineStr">
        <is>
          <t>dpn_ra_kulkarni</t>
        </is>
      </c>
      <c r="B119" t="inlineStr">
        <is>
          <t>8EN1</t>
        </is>
      </c>
      <c r="C119" t="n">
        <v>2493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>
        <f>IF(SUM(D119:H119)&gt;0,"YES","")</f>
        <v/>
      </c>
    </row>
    <row r="120">
      <c r="A120" t="inlineStr">
        <is>
          <t>dpn_ra_kulkarni</t>
        </is>
      </c>
      <c r="B120" t="inlineStr">
        <is>
          <t>1AN1</t>
        </is>
      </c>
      <c r="C120" t="n">
        <v>3711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>
        <f>IF(SUM(D120:H120)&gt;0,"YES","")</f>
        <v/>
      </c>
    </row>
    <row r="121">
      <c r="A121" t="inlineStr">
        <is>
          <t>dpn_ra_kulkarni</t>
        </is>
      </c>
      <c r="B121" t="inlineStr">
        <is>
          <t>FL0A2</t>
        </is>
      </c>
      <c r="C121" t="n">
        <v>5047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>
        <f>IF(SUM(D121:H121)&gt;0,"YES","")</f>
        <v/>
      </c>
    </row>
    <row r="122">
      <c r="A122" t="inlineStr">
        <is>
          <t>dpn_ra_kulkarni</t>
        </is>
      </c>
      <c r="B122" t="inlineStr">
        <is>
          <t>PA71</t>
        </is>
      </c>
      <c r="C122" t="n">
        <v>4139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>
        <f>IF(SUM(D122:H122)&gt;0,"YES","")</f>
        <v/>
      </c>
    </row>
    <row r="123">
      <c r="A123" t="inlineStr">
        <is>
          <t>dpn_ra_kulkarni</t>
        </is>
      </c>
      <c r="B123" t="inlineStr">
        <is>
          <t>ME61</t>
        </is>
      </c>
      <c r="C123" t="n">
        <v>2571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>
        <f>IF(SUM(D123:H123)&gt;0,"YES","")</f>
        <v/>
      </c>
    </row>
    <row r="124">
      <c r="A124" t="inlineStr">
        <is>
          <t>dpn_ra_kulkarni</t>
        </is>
      </c>
      <c r="B124" t="inlineStr">
        <is>
          <t>1VYB2</t>
        </is>
      </c>
      <c r="C124" t="n">
        <v>4905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>
        <f>IF(SUM(D124:H124)&gt;0,"YES","")</f>
        <v/>
      </c>
    </row>
    <row r="125">
      <c r="A125" t="inlineStr">
        <is>
          <t>dpn_ra_kulkarni</t>
        </is>
      </c>
      <c r="B125" t="inlineStr">
        <is>
          <t>2OE1</t>
        </is>
      </c>
      <c r="C125" t="n">
        <v>3858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>
        <f>IF(SUM(D125:H125)&gt;0,"YES","")</f>
        <v/>
      </c>
    </row>
    <row r="126">
      <c r="A126" t="inlineStr">
        <is>
          <t>dpn_ra_kulkarni</t>
        </is>
      </c>
      <c r="B126" t="inlineStr">
        <is>
          <t>4LIA1</t>
        </is>
      </c>
      <c r="C126" t="n">
        <v>5695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>
        <f>IF(SUM(D126:H126)&gt;0,"YES","")</f>
        <v/>
      </c>
    </row>
    <row r="127">
      <c r="A127" t="inlineStr">
        <is>
          <t>dpn_ra_kulkarni</t>
        </is>
      </c>
      <c r="B127" t="inlineStr">
        <is>
          <t>LE41</t>
        </is>
      </c>
      <c r="C127" t="n">
        <v>2585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>
        <f>IF(SUM(D127:H127)&gt;0,"YES","")</f>
        <v/>
      </c>
    </row>
    <row r="128">
      <c r="A128" t="inlineStr">
        <is>
          <t>dpn_ra_kulkarni</t>
        </is>
      </c>
      <c r="B128" t="inlineStr">
        <is>
          <t>J1M2</t>
        </is>
      </c>
      <c r="C128" t="n">
        <v>3093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>
        <f>IF(SUM(D128:H128)&gt;0,"YES","")</f>
        <v/>
      </c>
    </row>
    <row r="129">
      <c r="A129" t="inlineStr">
        <is>
          <t>dpn_ra_kulkarni</t>
        </is>
      </c>
      <c r="B129" t="inlineStr">
        <is>
          <t>S1D1</t>
        </is>
      </c>
      <c r="C129" t="n">
        <v>3607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>
        <f>IF(SUM(D129:H129)&gt;0,"YES","")</f>
        <v/>
      </c>
    </row>
    <row r="130">
      <c r="A130" t="inlineStr">
        <is>
          <t>dpn_ra_kulkarni</t>
        </is>
      </c>
      <c r="B130" t="inlineStr">
        <is>
          <t>RO52</t>
        </is>
      </c>
      <c r="C130" t="n">
        <v>3465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>
        <f>IF(SUM(D130:H130)&gt;0,"YES","")</f>
        <v/>
      </c>
    </row>
    <row r="131">
      <c r="A131" t="inlineStr">
        <is>
          <t>dpn_ra_kulkarni</t>
        </is>
      </c>
      <c r="B131" t="inlineStr">
        <is>
          <t>T0M2</t>
        </is>
      </c>
      <c r="C131" t="n">
        <v>3033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>
        <f>IF(SUM(D131:H131)&gt;0,"YES","")</f>
        <v/>
      </c>
    </row>
    <row r="132">
      <c r="A132" t="inlineStr">
        <is>
          <t>dpn_ra_kulkarni</t>
        </is>
      </c>
      <c r="B132" t="inlineStr">
        <is>
          <t>1VYA1</t>
        </is>
      </c>
      <c r="C132" t="n">
        <v>5074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>
        <f>IF(SUM(D132:H132)&gt;0,"YES","")</f>
        <v/>
      </c>
    </row>
    <row r="133">
      <c r="A133" t="inlineStr">
        <is>
          <t>osm_juliet</t>
        </is>
      </c>
      <c r="B133" t="inlineStr">
        <is>
          <t>D1O1</t>
        </is>
      </c>
      <c r="C133" t="n">
        <v>4139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>
        <f>IF(SUM(D133:H133)&gt;0,"YES","")</f>
        <v/>
      </c>
    </row>
    <row r="134">
      <c r="A134" t="inlineStr">
        <is>
          <t>osm_juliet</t>
        </is>
      </c>
      <c r="B134" t="inlineStr">
        <is>
          <t>D3O1</t>
        </is>
      </c>
      <c r="C134" t="n">
        <v>3183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>
        <f>IF(SUM(D134:H134)&gt;0,"YES","")</f>
        <v/>
      </c>
    </row>
    <row r="135">
      <c r="A135" t="inlineStr">
        <is>
          <t>osm_juliet</t>
        </is>
      </c>
      <c r="B135" t="inlineStr">
        <is>
          <t>D1V1</t>
        </is>
      </c>
      <c r="C135" t="n">
        <v>2668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>
        <f>IF(SUM(D135:H135)&gt;0,"YES","")</f>
        <v/>
      </c>
    </row>
    <row r="136">
      <c r="A136" t="inlineStr">
        <is>
          <t>osm_juliet</t>
        </is>
      </c>
      <c r="B136" t="inlineStr">
        <is>
          <t>D3V2</t>
        </is>
      </c>
      <c r="C136" t="n">
        <v>5004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>
        <f>IF(SUM(D136:H136)&gt;0,"YES","")</f>
        <v/>
      </c>
    </row>
    <row r="137">
      <c r="A137" t="inlineStr">
        <is>
          <t>osm_juliet</t>
        </is>
      </c>
      <c r="B137" t="inlineStr">
        <is>
          <t>D3O3</t>
        </is>
      </c>
      <c r="C137" t="n">
        <v>2883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>
        <f>IF(SUM(D137:H137)&gt;0,"YES","")</f>
        <v/>
      </c>
    </row>
    <row r="138">
      <c r="A138" t="inlineStr">
        <is>
          <t>osm_juliet</t>
        </is>
      </c>
      <c r="B138" t="inlineStr">
        <is>
          <t>D2V2</t>
        </is>
      </c>
      <c r="C138" t="n">
        <v>3232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>
        <f>IF(SUM(D138:H138)&gt;0,"YES","")</f>
        <v/>
      </c>
    </row>
    <row r="139">
      <c r="A139" t="inlineStr">
        <is>
          <t>osm_juliet</t>
        </is>
      </c>
      <c r="B139" t="inlineStr">
        <is>
          <t>D2O1</t>
        </is>
      </c>
      <c r="C139" t="n">
        <v>3685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>
        <f>IF(SUM(D139:H139)&gt;0,"YES","")</f>
        <v/>
      </c>
    </row>
    <row r="140">
      <c r="A140" t="inlineStr">
        <is>
          <t>osm_juliet</t>
        </is>
      </c>
      <c r="B140" t="inlineStr">
        <is>
          <t>D1O2</t>
        </is>
      </c>
      <c r="C140" t="n">
        <v>3944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>
        <f>IF(SUM(D140:H140)&gt;0,"YES","")</f>
        <v/>
      </c>
    </row>
    <row r="141">
      <c r="A141" t="inlineStr">
        <is>
          <t>osm_juliet</t>
        </is>
      </c>
      <c r="B141" t="inlineStr">
        <is>
          <t>D3V3</t>
        </is>
      </c>
      <c r="C141" t="n">
        <v>5209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>
        <f>IF(SUM(D141:H141)&gt;0,"YES","")</f>
        <v/>
      </c>
    </row>
    <row r="142">
      <c r="A142" t="inlineStr">
        <is>
          <t>osm_juliet</t>
        </is>
      </c>
      <c r="B142" t="inlineStr">
        <is>
          <t>D2V3</t>
        </is>
      </c>
      <c r="C142" t="n">
        <v>3513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>
        <f>IF(SUM(D142:H142)&gt;0,"YES","")</f>
        <v/>
      </c>
    </row>
    <row r="143">
      <c r="A143" t="inlineStr">
        <is>
          <t>osm_juliet</t>
        </is>
      </c>
      <c r="B143" t="inlineStr">
        <is>
          <t>D3V1</t>
        </is>
      </c>
      <c r="C143" t="n">
        <v>2173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>
        <f>IF(SUM(D143:H143)&gt;0,"YES","")</f>
        <v/>
      </c>
    </row>
    <row r="144">
      <c r="A144" t="inlineStr">
        <is>
          <t>osm_juliet</t>
        </is>
      </c>
      <c r="B144" t="inlineStr">
        <is>
          <t>D2V1</t>
        </is>
      </c>
      <c r="C144" t="n">
        <v>3928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>
        <f>IF(SUM(D144:H144)&gt;0,"YES","")</f>
        <v/>
      </c>
    </row>
    <row r="145">
      <c r="A145" t="inlineStr">
        <is>
          <t>osm_juliet</t>
        </is>
      </c>
      <c r="B145" t="inlineStr">
        <is>
          <t>D1V3</t>
        </is>
      </c>
      <c r="C145" t="n">
        <v>5277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>
        <f>IF(SUM(D145:H145)&gt;0,"YES","")</f>
        <v/>
      </c>
    </row>
    <row r="146">
      <c r="A146" t="inlineStr">
        <is>
          <t>osm_juliet</t>
        </is>
      </c>
      <c r="B146" t="inlineStr">
        <is>
          <t>D2O3</t>
        </is>
      </c>
      <c r="C146" t="n">
        <v>5092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>
        <f>IF(SUM(D146:H146)&gt;0,"YES","")</f>
        <v/>
      </c>
    </row>
    <row r="147">
      <c r="A147" t="inlineStr">
        <is>
          <t>osm_juliet</t>
        </is>
      </c>
      <c r="B147" t="inlineStr">
        <is>
          <t>D3O2</t>
        </is>
      </c>
      <c r="C147" t="n">
        <v>3618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>
        <f>IF(SUM(D147:H147)&gt;0,"YES","")</f>
        <v/>
      </c>
    </row>
    <row r="148">
      <c r="A148" t="inlineStr">
        <is>
          <t>osm_juliet</t>
        </is>
      </c>
      <c r="B148" t="inlineStr">
        <is>
          <t>D1O3</t>
        </is>
      </c>
      <c r="C148" t="n">
        <v>3825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>
        <f>IF(SUM(D148:H148)&gt;0,"YES","")</f>
        <v/>
      </c>
    </row>
    <row r="149">
      <c r="A149" t="inlineStr">
        <is>
          <t>osm_juliet</t>
        </is>
      </c>
      <c r="B149" t="inlineStr">
        <is>
          <t>D2O2</t>
        </is>
      </c>
      <c r="C149" t="n">
        <v>3683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>
        <f>IF(SUM(D149:H149)&gt;0,"YES","")</f>
        <v/>
      </c>
    </row>
    <row r="150">
      <c r="A150" t="inlineStr">
        <is>
          <t>osm_juliet</t>
        </is>
      </c>
      <c r="B150" t="inlineStr">
        <is>
          <t>D1V2</t>
        </is>
      </c>
      <c r="C150" t="n">
        <v>3240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>
        <f>IF(SUM(D150:H150)&gt;0,"YES","")</f>
        <v/>
      </c>
    </row>
  </sheetData>
  <autoFilter ref="A4:I1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Methodology &amp; Open Items</t>
        </is>
      </c>
    </row>
    <row r="2">
      <c r="A2" s="7" t="inlineStr"/>
    </row>
    <row r="3">
      <c r="A3" s="7" t="inlineStr">
        <is>
          <t>Status as of this version: 9 of 11 launched cohorts (146 of ~161 samples). unknown_doloromics and osmexplant_juliet still pending — add their rows once complete.</t>
        </is>
      </c>
    </row>
    <row r="4">
      <c r="A4" s="7" t="inlineStr">
        <is>
          <t>lumar_drg excluded throughout (recommend-exclude status, MD5-duplicate of Donor1 DRG).</t>
        </is>
      </c>
    </row>
    <row r="5">
      <c r="A5" s="7" t="inlineStr"/>
    </row>
    <row r="6">
      <c r="A6" s="7" t="inlineStr">
        <is>
          <t>Sensitivity: bracken_raw_matrix.tsv per cohort (DB1/viral-specific database, genuinely zero-threshold -- no min_reads, no artifact exclusion). For dpn_ra_kulkarni and osm_juliet specifically, DB2/PlusPF was also checked at zero threshold per-sample (via `nextflow log &lt;session&gt; -F "process == 'VIROME:KRAKEN2_FILTER_DB2'" -f tag,workdir` to enumerate each sample's un-aggregated raw output) -- confirmed genuinely negative on both databases, not a gap. See virome/docs/juno_hpc_operations_guide.md for the nextflow log technique.</t>
        </is>
      </c>
    </row>
    <row r="7">
      <c r="A7" s="7" t="inlineStr"/>
    </row>
    <row r="8">
      <c r="A8" s="7" t="inlineStr">
        <is>
          <t>Why DB2 rarely confirms these taxa: DB2/PlusPF includes a human genome reference DB1 doesn't have. STAR-unmapped reads that DB1 calls unclassified (nothing human to match) get correctly reclaimed as Homo sapiens by DB2 instead (spot-checked: 99.86% of one DB2 sample's reads), crowding out room for a low-abundance viral call in the same pass. This is a real mechanism, not a pipeline bug -- worth remembering when interpreting Tier 1 (dual-DB) vs Tier 2/3 status generally, not just for HERV-K.</t>
        </is>
      </c>
    </row>
    <row r="9">
      <c r="A9" s="7" t="inlineStr"/>
    </row>
    <row r="10">
      <c r="A10" s="7" t="inlineStr">
        <is>
          <t>Taxa tracked ("By Sample" columns):</t>
        </is>
      </c>
    </row>
    <row r="11">
      <c r="A11" s="7" t="inlineStr">
        <is>
          <t xml:space="preserve">  45617   Human endogenous retrovirus K (HERV-K) -- never Tier 1/dual-DB in any cohort so far</t>
        </is>
      </c>
    </row>
    <row r="12">
      <c r="A12" s="7" t="inlineStr">
        <is>
          <t xml:space="preserve">  3050292 Simplexvirus humanalpha1 (real human HSV-1)</t>
        </is>
      </c>
    </row>
    <row r="13">
      <c r="A13" s="7" t="inlineStr">
        <is>
          <t xml:space="preserve">  3050138 Simplexvirus atelinealpha1 (New World monkey alphaherpesvirus -- cross-species candidate)</t>
        </is>
      </c>
    </row>
    <row r="14">
      <c r="A14" s="7" t="inlineStr">
        <is>
          <t xml:space="preserve">  3050333 Simplexvirus paninealpha3 (chimpanzee-lineage alphaherpesvirus -- cross-species candidate)</t>
        </is>
      </c>
    </row>
    <row r="15">
      <c r="A15" s="7" t="inlineStr">
        <is>
          <t xml:space="preserve">  3050350 Rhadinovirus saimiriinegamma2 (squirrel-monkey gammaherpesvirus, HHV-8's genus -- cross-species candidate)</t>
        </is>
      </c>
    </row>
    <row r="16">
      <c r="A16" s="7" t="inlineStr">
        <is>
          <t xml:space="preserve">  1511891 Dependoparvovirus primate1 (AAV)</t>
        </is>
      </c>
    </row>
    <row r="17">
      <c r="A17" s="7" t="inlineStr">
        <is>
          <t xml:space="preserve">  Checked, zero hits anywhere: VZV (Varicellovirus humanalpha3), CMV (Cytomegalovirus), EBV (Lymphocryptovirus), HHV-6/7 (Roseolovirus)</t>
        </is>
      </c>
    </row>
    <row r="18">
      <c r="A18" s="7" t="inlineStr"/>
    </row>
    <row r="19">
      <c r="A19" s="7" t="inlineStr">
        <is>
          <t>Broader neurotropic/systemic virus panel (zero-threshold, all 9 cohorts, terms: 'immunodeficiency virus', 'coronavir', 'hepatitis', 'poliovirus', 'enterovirus', 'rabies', 'lyssavirus', 'west nile', 'polyomavirus', 'measles', 'morbillivirus', 'mumps', 'rubulavirus', 'zika') -- completely clean, zero hits in any cohort at any read count. Covers HIV, all coronaviruses incl. SARS-CoV-2, hepatitis A-E, poliovirus/enterovirus, rabies/lyssavirus, West Nile virus, JC polyomavirus, measles/mumps, Zika. Real negative, same weight as the VZV/CMV/EBV finding above -- not just unchecked.</t>
        </is>
      </c>
    </row>
    <row r="20">
      <c r="A20" s="7" t="inlineStr"/>
    </row>
    <row r="21">
      <c r="A21" s="7" t="inlineStr">
        <is>
          <t>Cross-species hits not yet resolved as artifact vs. real divergent signal -- same open question as the existing Cytomegalovirus papiinebeta3 -&gt; "Human CMV proxy" precedent in assets/taxon_remap.tsv. Thoracic DRG's 80T2R carries both human HSV-1 (38 reads) AND atelinealpha1 (58 reads) in the same sample -- suggestive of divergent-read k-mer splitting. The other 3 off-species-only samples (111T9R, 114T12R, 473-1) have no co-occurring human signal -- less clear.</t>
        </is>
      </c>
    </row>
    <row r="22">
      <c r="A22" s="7" t="inlineStr"/>
    </row>
    <row r="23">
      <c r="A23" s="7" t="inlineStr">
        <is>
          <t>Two artifact-candidate taxa observed in Tier 1 (dual-DB) output, NOT yet broken out per-sample in the By Sample tab (only seen as cohort-level taxon-name hits so far):</t>
        </is>
      </c>
    </row>
    <row r="24">
      <c r="A24" s="7" t="inlineStr">
        <is>
          <t xml:space="preserve">  - Mus musculus mobilized endogenous polytropic provirus (590745) -- murine retrovirus, seen in BOTH Watchmaker (~7-taxon murine cluster) and dpn_ra_kulkarni (2 unrelated cohorts) -- looks like a recurring database/k-mer cross-mapping artifact, same class as the existing hantavirus/orthobunyavirus entries in assets/artifact_taxa.tsv, not yet added to that list.</t>
        </is>
      </c>
    </row>
    <row r="25">
      <c r="A25" s="7" t="inlineStr">
        <is>
          <t xml:space="preserve">  - Lilac leaf chlorosis virus (722755) -- plant virus, osm_juliet only so far. No biological plausibility in human tissue -- same class as existing Gihfavirus/Kinglevirus artifact entries.</t>
        </is>
      </c>
    </row>
    <row r="26">
      <c r="A26" s="7" t="inlineStr"/>
    </row>
    <row r="27">
      <c r="A27" s="7" t="inlineStr">
        <is>
          <t>104T8R (Thoracic DRG) is a confirmed genuine library failure -- 92 total STAR input reads. Saad-2 (mgoexplant_saad) independently confirms a pre-existing "known library failure" flag via zero HERV-K even at raw threshold.</t>
        </is>
      </c>
    </row>
    <row r="28">
      <c r="A28" s="7" t="inlineStr"/>
    </row>
    <row r="29">
      <c r="A29" s="7" t="inlineStr">
        <is>
          <t>Source: virome pipeline (github.com/mwilde49/virome-pipeline), 2026-08-19 gataca-&gt;Titan-&gt;scratch batch. Full detail: Claude memory project_neurotrophic_virus_screen_2026-08.md and project_hervk_findings.md.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2026-08-20T22:38:46Z</dcterms:created>
  <dcterms:modified xmlns:dcterms="http://purl.org/dc/terms/" xmlns:xsi="http://www.w3.org/2001/XMLSchema-instance" xsi:type="dcterms:W3CDTF">2026-08-20T22:38:46Z</dcterms:modified>
</cp:coreProperties>
</file>