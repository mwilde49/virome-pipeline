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6440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Sample" sheetId="2" state="visible" r:id="rId2"/>
    <sheet xmlns:r="http://schemas.openxmlformats.org/officeDocument/2006/relationships" name="PathSeq" sheetId="3" state="visible" r:id="rId3"/>
    <sheet xmlns:r="http://schemas.openxmlformats.org/officeDocument/2006/relationships" name="By Cohort" sheetId="4" state="visible" r:id="rId4"/>
  </sheets>
  <definedNames>
    <definedName name="_xlnm._FilterDatabase" localSheetId="0" hidden="1">'Summary'!$A$4:$J$15</definedName>
    <definedName name="_xlnm._FilterDatabase" localSheetId="1" hidden="1">'By Sample'!$A$4:$X$164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1F4E5F"/>
        <b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4" fillId="0" borderId="0" pivotButton="0" quotePrefix="0" xfId="0"/>
    <xf numFmtId="9" fontId="4" fillId="0" borderId="0" pivotButton="0" quotePrefix="0" xfId="0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Neurotrophic Virus Screen — Summary (total unique detections, by method)</t>
        </is>
      </c>
    </row>
    <row r="4">
      <c r="A4" s="3" t="inlineStr">
        <is>
          <t>Cohort</t>
        </is>
      </c>
      <c r="B4" s="3" t="inlineStr">
        <is>
          <t>n</t>
        </is>
      </c>
      <c r="C4" s="3" t="inlineStr">
        <is>
          <t>Total unique detections (of 7 tracked taxa)</t>
        </is>
      </c>
      <c r="D4" s="3" t="inlineStr">
        <is>
          <t>HERV-K</t>
        </is>
      </c>
      <c r="E4" s="3" t="inlineStr">
        <is>
          <t>HSV-1</t>
        </is>
      </c>
      <c r="F4" s="3" t="inlineStr">
        <is>
          <t>Simplexvirus atelinealpha1</t>
        </is>
      </c>
      <c r="G4" s="3" t="inlineStr">
        <is>
          <t>Simplexvirus paninealpha3</t>
        </is>
      </c>
      <c r="H4" s="3" t="inlineStr">
        <is>
          <t>Rhadinovirus saimiriinegamma2</t>
        </is>
      </c>
      <c r="I4" s="3" t="inlineStr">
        <is>
          <t>AAV</t>
        </is>
      </c>
      <c r="J4" s="3" t="inlineStr">
        <is>
          <t>Molluscum contagiosum</t>
        </is>
      </c>
    </row>
    <row r="5">
      <c r="A5" t="inlineStr">
        <is>
          <t>Watchmaker</t>
        </is>
      </c>
      <c r="B5" t="n">
        <v>24</v>
      </c>
      <c r="C5" t="n">
        <v>4</v>
      </c>
      <c r="D5" t="inlineStr">
        <is>
          <t>Both</t>
        </is>
      </c>
      <c r="E5" t="inlineStr">
        <is>
          <t>Both</t>
        </is>
      </c>
      <c r="F5" t="inlineStr">
        <is>
          <t>—</t>
        </is>
      </c>
      <c r="G5" t="inlineStr">
        <is>
          <t>—</t>
        </is>
      </c>
      <c r="H5" t="inlineStr">
        <is>
          <t>PathSeq</t>
        </is>
      </c>
      <c r="I5" t="inlineStr">
        <is>
          <t>—</t>
        </is>
      </c>
      <c r="J5" t="inlineStr">
        <is>
          <t>PathSeq</t>
        </is>
      </c>
    </row>
    <row r="6">
      <c r="A6" t="inlineStr">
        <is>
          <t>adult_infant_soma_axon</t>
        </is>
      </c>
      <c r="B6" t="n">
        <v>10</v>
      </c>
      <c r="C6" t="n">
        <v>3</v>
      </c>
      <c r="D6" t="inlineStr">
        <is>
          <t>Both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PathSeq</t>
        </is>
      </c>
      <c r="I6" t="inlineStr">
        <is>
          <t>—</t>
        </is>
      </c>
      <c r="J6" t="inlineStr">
        <is>
          <t>Both</t>
        </is>
      </c>
    </row>
    <row r="7">
      <c r="A7" t="inlineStr">
        <is>
          <t>Thoracic DRG</t>
        </is>
      </c>
      <c r="B7" t="n">
        <v>24</v>
      </c>
      <c r="C7" t="n">
        <v>6</v>
      </c>
      <c r="D7" t="inlineStr">
        <is>
          <t>Both</t>
        </is>
      </c>
      <c r="E7" t="inlineStr">
        <is>
          <t>Both</t>
        </is>
      </c>
      <c r="F7" t="inlineStr">
        <is>
          <t>Kraken2 (no PathSeq ref)</t>
        </is>
      </c>
      <c r="G7" t="inlineStr">
        <is>
          <t>—</t>
        </is>
      </c>
      <c r="H7" t="inlineStr">
        <is>
          <t>PathSeq</t>
        </is>
      </c>
      <c r="I7" t="inlineStr">
        <is>
          <t>Both</t>
        </is>
      </c>
      <c r="J7" t="inlineStr">
        <is>
          <t>Kraken2</t>
        </is>
      </c>
    </row>
    <row r="8">
      <c r="A8" t="inlineStr">
        <is>
          <t>mgoexplant_saad</t>
        </is>
      </c>
      <c r="B8" t="n">
        <v>6</v>
      </c>
      <c r="C8" t="n">
        <v>2</v>
      </c>
      <c r="D8" t="inlineStr">
        <is>
          <t>Both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Kraken2</t>
        </is>
      </c>
    </row>
    <row r="9">
      <c r="A9" t="inlineStr">
        <is>
          <t>tg_2018_emma_nih (TG)</t>
        </is>
      </c>
      <c r="B9" t="n">
        <v>16</v>
      </c>
      <c r="C9" t="n">
        <v>3</v>
      </c>
      <c r="D9" t="inlineStr">
        <is>
          <t>Both</t>
        </is>
      </c>
      <c r="E9" t="inlineStr">
        <is>
          <t>Both</t>
        </is>
      </c>
      <c r="F9" t="inlineStr">
        <is>
          <t>—</t>
        </is>
      </c>
      <c r="G9" t="inlineStr">
        <is>
          <t>—</t>
        </is>
      </c>
      <c r="H9" t="inlineStr">
        <is>
          <t>PathSeq</t>
        </is>
      </c>
      <c r="I9" t="inlineStr">
        <is>
          <t>—</t>
        </is>
      </c>
      <c r="J9" t="inlineStr">
        <is>
          <t>—</t>
        </is>
      </c>
    </row>
    <row r="10">
      <c r="A10" t="inlineStr">
        <is>
          <t>osmcultured_juliet</t>
        </is>
      </c>
      <c r="B10" t="n">
        <v>6</v>
      </c>
      <c r="C10" t="n">
        <v>2</v>
      </c>
      <c r="D10" t="inlineStr">
        <is>
          <t>Both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Both</t>
        </is>
      </c>
    </row>
    <row r="11">
      <c r="A11" t="inlineStr">
        <is>
          <t>rejoin_jayden</t>
        </is>
      </c>
      <c r="B11" t="n">
        <v>17</v>
      </c>
      <c r="C11" t="n">
        <v>5</v>
      </c>
      <c r="D11" t="inlineStr">
        <is>
          <t>Both</t>
        </is>
      </c>
      <c r="E11" t="inlineStr">
        <is>
          <t>Both</t>
        </is>
      </c>
      <c r="F11" t="inlineStr">
        <is>
          <t>—</t>
        </is>
      </c>
      <c r="G11" t="inlineStr">
        <is>
          <t>Kraken2 (no PathSeq ref)</t>
        </is>
      </c>
      <c r="H11" t="inlineStr">
        <is>
          <t>Both</t>
        </is>
      </c>
      <c r="I11" t="inlineStr">
        <is>
          <t>—</t>
        </is>
      </c>
      <c r="J11" t="inlineStr">
        <is>
          <t>PathSeq</t>
        </is>
      </c>
    </row>
    <row r="12">
      <c r="A12" t="inlineStr">
        <is>
          <t>dpn_ra_kulkarni</t>
        </is>
      </c>
      <c r="B12" t="n">
        <v>25</v>
      </c>
      <c r="C12" t="n">
        <v>3</v>
      </c>
      <c r="D12" t="inlineStr">
        <is>
          <t>Both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PathSeq</t>
        </is>
      </c>
      <c r="I12" t="inlineStr">
        <is>
          <t>PathSeq</t>
        </is>
      </c>
      <c r="J12" t="inlineStr">
        <is>
          <t>—</t>
        </is>
      </c>
    </row>
    <row r="13">
      <c r="A13" t="inlineStr">
        <is>
          <t>osm_juliet</t>
        </is>
      </c>
      <c r="B13" t="n">
        <v>18</v>
      </c>
      <c r="C13" t="n">
        <v>1</v>
      </c>
      <c r="D13" t="inlineStr">
        <is>
          <t>Both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</row>
    <row r="14">
      <c r="A14" t="inlineStr">
        <is>
          <t>unknown_doloromics</t>
        </is>
      </c>
      <c r="B14" t="n">
        <v>7</v>
      </c>
      <c r="C14" t="n">
        <v>3</v>
      </c>
      <c r="D14" t="inlineStr">
        <is>
          <t>Both</t>
        </is>
      </c>
      <c r="E14" t="inlineStr">
        <is>
          <t>Both</t>
        </is>
      </c>
      <c r="F14" t="inlineStr">
        <is>
          <t>Kraken2 (no PathSeq ref)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</row>
    <row r="15">
      <c r="A15" t="inlineStr">
        <is>
          <t>osmexplant_juliet</t>
        </is>
      </c>
      <c r="B15" t="n">
        <v>7</v>
      </c>
      <c r="C15" t="n">
        <v>3</v>
      </c>
      <c r="D15" t="inlineStr">
        <is>
          <t>Both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PathSeq</t>
        </is>
      </c>
      <c r="I15" t="inlineStr">
        <is>
          <t>—</t>
        </is>
      </c>
      <c r="J15" t="inlineStr">
        <is>
          <t>Both</t>
        </is>
      </c>
    </row>
  </sheetData>
  <autoFilter ref="A4:J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Neurotrophic Virus Screen — By Sample (Kraken2 vs PathSeq vs Combined)</t>
        </is>
      </c>
    </row>
    <row r="4">
      <c r="A4" s="3" t="inlineStr">
        <is>
          <t>Cohort</t>
        </is>
      </c>
      <c r="B4" s="3" t="inlineStr">
        <is>
          <t>Sample</t>
        </is>
      </c>
      <c r="C4" s="3" t="inlineStr">
        <is>
          <t>HERV-K — Kraken2 reads</t>
        </is>
      </c>
      <c r="D4" s="3" t="inlineStr">
        <is>
          <t>HERV-K — PathSeq reads</t>
        </is>
      </c>
      <c r="E4" s="3" t="inlineStr">
        <is>
          <t>HERV-K — Combined</t>
        </is>
      </c>
      <c r="F4" s="3" t="inlineStr">
        <is>
          <t>HSV-1 (Simplexvirus humanalpha1 / Human alphaherpesvirus 1) — Kraken2 reads</t>
        </is>
      </c>
      <c r="G4" s="3" t="inlineStr">
        <is>
          <t>HSV-1 (Simplexvirus humanalpha1 / Human alphaherpesvirus 1) — PathSeq reads</t>
        </is>
      </c>
      <c r="H4" s="3" t="inlineStr">
        <is>
          <t>HSV-1 (Simplexvirus humanalpha1 / Human alphaherpesvirus 1) — Combined</t>
        </is>
      </c>
      <c r="I4" s="3" t="inlineStr">
        <is>
          <t>Simplexvirus atelinealpha1 — Kraken2 reads</t>
        </is>
      </c>
      <c r="J4" s="3" t="inlineStr">
        <is>
          <t>Simplexvirus atelinealpha1 — PathSeq reads</t>
        </is>
      </c>
      <c r="K4" s="3" t="inlineStr">
        <is>
          <t>Simplexvirus atelinealpha1 — Combined</t>
        </is>
      </c>
      <c r="L4" s="3" t="inlineStr">
        <is>
          <t>Simplexvirus paninealpha3 — Kraken2 reads</t>
        </is>
      </c>
      <c r="M4" s="3" t="inlineStr">
        <is>
          <t>Simplexvirus paninealpha3 — PathSeq reads</t>
        </is>
      </c>
      <c r="N4" s="3" t="inlineStr">
        <is>
          <t>Simplexvirus paninealpha3 — Combined</t>
        </is>
      </c>
      <c r="O4" s="3" t="inlineStr">
        <is>
          <t>Rhadinovirus saimiriinegamma2 — Kraken2 reads</t>
        </is>
      </c>
      <c r="P4" s="3" t="inlineStr">
        <is>
          <t>Rhadinovirus saimiriinegamma2 — PathSeq reads</t>
        </is>
      </c>
      <c r="Q4" s="3" t="inlineStr">
        <is>
          <t>Rhadinovirus saimiriinegamma2 — Combined</t>
        </is>
      </c>
      <c r="R4" s="3" t="inlineStr">
        <is>
          <t>AAV (Dependoparvovirus primate1) — Kraken2 reads</t>
        </is>
      </c>
      <c r="S4" s="3" t="inlineStr">
        <is>
          <t>AAV (Dependoparvovirus primate1) — PathSeq reads</t>
        </is>
      </c>
      <c r="T4" s="3" t="inlineStr">
        <is>
          <t>AAV (Dependoparvovirus primate1) — Combined</t>
        </is>
      </c>
      <c r="U4" s="3" t="inlineStr">
        <is>
          <t>Molluscum contagiosum virus — Kraken2 reads</t>
        </is>
      </c>
      <c r="V4" s="3" t="inlineStr">
        <is>
          <t>Molluscum contagiosum virus — PathSeq reads</t>
        </is>
      </c>
      <c r="W4" s="3" t="inlineStr">
        <is>
          <t>Molluscum contagiosum virus — Combined</t>
        </is>
      </c>
      <c r="X4" s="3" t="inlineStr">
        <is>
          <t>Any detection of interest?</t>
        </is>
      </c>
    </row>
    <row r="5">
      <c r="A5" t="inlineStr">
        <is>
          <t>Watchmaker</t>
        </is>
      </c>
      <c r="B5" t="inlineStr">
        <is>
          <t>AO2</t>
        </is>
      </c>
      <c r="C5" t="n">
        <v>3445</v>
      </c>
      <c r="D5" t="n">
        <v>2013</v>
      </c>
      <c r="E5" t="inlineStr">
        <is>
          <t>Both</t>
        </is>
      </c>
      <c r="F5" t="n">
        <v>0</v>
      </c>
      <c r="G5" t="n">
        <v>0</v>
      </c>
      <c r="I5" t="n">
        <v>0</v>
      </c>
      <c r="J5" t="inlineStr">
        <is>
          <t>n/a</t>
        </is>
      </c>
      <c r="L5" t="n">
        <v>0</v>
      </c>
      <c r="M5" t="inlineStr">
        <is>
          <t>n/a</t>
        </is>
      </c>
      <c r="O5" t="n">
        <v>0</v>
      </c>
      <c r="P5" t="n">
        <v>0</v>
      </c>
      <c r="R5" t="n">
        <v>0</v>
      </c>
      <c r="S5" t="n">
        <v>0</v>
      </c>
      <c r="U5" t="n">
        <v>0</v>
      </c>
      <c r="V5" t="n">
        <v>0</v>
      </c>
      <c r="X5">
        <f>IF(COUNTBLANK(E5,H5,K5,N5,Q5,T5,W5)&lt;7,"YES","")</f>
        <v/>
      </c>
    </row>
    <row r="6">
      <c r="A6" t="inlineStr">
        <is>
          <t>Watchmaker</t>
        </is>
      </c>
      <c r="B6" t="inlineStr">
        <is>
          <t>AA8</t>
        </is>
      </c>
      <c r="C6" t="n">
        <v>3561</v>
      </c>
      <c r="D6" t="n">
        <v>1949</v>
      </c>
      <c r="E6" t="inlineStr">
        <is>
          <t>Both</t>
        </is>
      </c>
      <c r="F6" t="n">
        <v>0</v>
      </c>
      <c r="G6" t="n">
        <v>0</v>
      </c>
      <c r="I6" t="n">
        <v>0</v>
      </c>
      <c r="J6" t="inlineStr">
        <is>
          <t>n/a</t>
        </is>
      </c>
      <c r="L6" t="n">
        <v>0</v>
      </c>
      <c r="M6" t="inlineStr">
        <is>
          <t>n/a</t>
        </is>
      </c>
      <c r="O6" t="n">
        <v>0</v>
      </c>
      <c r="P6" t="n">
        <v>0</v>
      </c>
      <c r="R6" t="n">
        <v>0</v>
      </c>
      <c r="S6" t="n">
        <v>0</v>
      </c>
      <c r="U6" t="n">
        <v>0</v>
      </c>
      <c r="V6" t="n">
        <v>0</v>
      </c>
      <c r="X6">
        <f>IF(COUNTBLANK(E6,H6,K6,N6,Q6,T6,W6)&lt;7,"YES","")</f>
        <v/>
      </c>
    </row>
    <row r="7">
      <c r="A7" t="inlineStr">
        <is>
          <t>Watchmaker</t>
        </is>
      </c>
      <c r="B7" t="inlineStr">
        <is>
          <t>AA7</t>
        </is>
      </c>
      <c r="C7" t="n">
        <v>3582</v>
      </c>
      <c r="D7" t="n">
        <v>2069</v>
      </c>
      <c r="E7" t="inlineStr">
        <is>
          <t>Both</t>
        </is>
      </c>
      <c r="F7" t="n">
        <v>0</v>
      </c>
      <c r="G7" t="n">
        <v>0</v>
      </c>
      <c r="I7" t="n">
        <v>0</v>
      </c>
      <c r="J7" t="inlineStr">
        <is>
          <t>n/a</t>
        </is>
      </c>
      <c r="L7" t="n">
        <v>0</v>
      </c>
      <c r="M7" t="inlineStr">
        <is>
          <t>n/a</t>
        </is>
      </c>
      <c r="O7" t="n">
        <v>0</v>
      </c>
      <c r="P7" t="n">
        <v>0</v>
      </c>
      <c r="R7" t="n">
        <v>0</v>
      </c>
      <c r="S7" t="n">
        <v>0</v>
      </c>
      <c r="U7" t="n">
        <v>0</v>
      </c>
      <c r="V7" t="n">
        <v>0</v>
      </c>
      <c r="X7">
        <f>IF(COUNTBLANK(E7,H7,K7,N7,Q7,T7,W7)&lt;7,"YES","")</f>
        <v/>
      </c>
    </row>
    <row r="8">
      <c r="A8" t="inlineStr">
        <is>
          <t>Watchmaker</t>
        </is>
      </c>
      <c r="B8" t="inlineStr">
        <is>
          <t>AO3</t>
        </is>
      </c>
      <c r="C8" t="n">
        <v>2753</v>
      </c>
      <c r="D8" t="n">
        <v>1308</v>
      </c>
      <c r="E8" t="inlineStr">
        <is>
          <t>Both</t>
        </is>
      </c>
      <c r="F8" t="n">
        <v>0</v>
      </c>
      <c r="G8" t="n">
        <v>0</v>
      </c>
      <c r="I8" t="n">
        <v>0</v>
      </c>
      <c r="J8" t="inlineStr">
        <is>
          <t>n/a</t>
        </is>
      </c>
      <c r="L8" t="n">
        <v>0</v>
      </c>
      <c r="M8" t="inlineStr">
        <is>
          <t>n/a</t>
        </is>
      </c>
      <c r="O8" t="n">
        <v>0</v>
      </c>
      <c r="P8" t="n">
        <v>0</v>
      </c>
      <c r="R8" t="n">
        <v>0</v>
      </c>
      <c r="S8" t="n">
        <v>0</v>
      </c>
      <c r="U8" t="n">
        <v>0</v>
      </c>
      <c r="V8" t="n">
        <v>0</v>
      </c>
      <c r="X8">
        <f>IF(COUNTBLANK(E8,H8,K8,N8,Q8,T8,W8)&lt;7,"YES","")</f>
        <v/>
      </c>
    </row>
    <row r="9">
      <c r="A9" t="inlineStr">
        <is>
          <t>Watchmaker</t>
        </is>
      </c>
      <c r="B9" t="inlineStr">
        <is>
          <t>AO1</t>
        </is>
      </c>
      <c r="C9" t="n">
        <v>3031</v>
      </c>
      <c r="D9" t="n">
        <v>1972</v>
      </c>
      <c r="E9" t="inlineStr">
        <is>
          <t>Both</t>
        </is>
      </c>
      <c r="F9" t="n">
        <v>0</v>
      </c>
      <c r="G9" t="n">
        <v>0</v>
      </c>
      <c r="I9" t="n">
        <v>0</v>
      </c>
      <c r="J9" t="inlineStr">
        <is>
          <t>n/a</t>
        </is>
      </c>
      <c r="L9" t="n">
        <v>0</v>
      </c>
      <c r="M9" t="inlineStr">
        <is>
          <t>n/a</t>
        </is>
      </c>
      <c r="O9" t="n">
        <v>0</v>
      </c>
      <c r="P9" t="n">
        <v>0</v>
      </c>
      <c r="R9" t="n">
        <v>0</v>
      </c>
      <c r="S9" t="n">
        <v>0</v>
      </c>
      <c r="U9" t="n">
        <v>0</v>
      </c>
      <c r="V9" t="n">
        <v>0</v>
      </c>
      <c r="X9">
        <f>IF(COUNTBLANK(E9,H9,K9,N9,Q9,T9,W9)&lt;7,"YES","")</f>
        <v/>
      </c>
    </row>
    <row r="10">
      <c r="A10" t="inlineStr">
        <is>
          <t>Watchmaker</t>
        </is>
      </c>
      <c r="B10" t="inlineStr">
        <is>
          <t>AO6</t>
        </is>
      </c>
      <c r="C10" t="n">
        <v>1828</v>
      </c>
      <c r="D10" t="n">
        <v>877</v>
      </c>
      <c r="E10" t="inlineStr">
        <is>
          <t>Both</t>
        </is>
      </c>
      <c r="F10" t="n">
        <v>0</v>
      </c>
      <c r="G10" t="n">
        <v>0</v>
      </c>
      <c r="I10" t="n">
        <v>0</v>
      </c>
      <c r="J10" t="inlineStr">
        <is>
          <t>n/a</t>
        </is>
      </c>
      <c r="L10" t="n">
        <v>0</v>
      </c>
      <c r="M10" t="inlineStr">
        <is>
          <t>n/a</t>
        </is>
      </c>
      <c r="O10" t="n">
        <v>0</v>
      </c>
      <c r="P10" t="n">
        <v>0</v>
      </c>
      <c r="R10" t="n">
        <v>0</v>
      </c>
      <c r="S10" t="n">
        <v>0</v>
      </c>
      <c r="U10" t="n">
        <v>0</v>
      </c>
      <c r="V10" t="n">
        <v>0</v>
      </c>
      <c r="X10">
        <f>IF(COUNTBLANK(E10,H10,K10,N10,Q10,T10,W10)&lt;7,"YES","")</f>
        <v/>
      </c>
    </row>
    <row r="11">
      <c r="A11" t="inlineStr">
        <is>
          <t>Watchmaker</t>
        </is>
      </c>
      <c r="B11" t="inlineStr">
        <is>
          <t>AO5</t>
        </is>
      </c>
      <c r="C11" t="n">
        <v>2726</v>
      </c>
      <c r="D11" t="n">
        <v>1305</v>
      </c>
      <c r="E11" t="inlineStr">
        <is>
          <t>Both</t>
        </is>
      </c>
      <c r="F11" t="n">
        <v>0</v>
      </c>
      <c r="G11" t="n">
        <v>0</v>
      </c>
      <c r="I11" t="n">
        <v>0</v>
      </c>
      <c r="J11" t="inlineStr">
        <is>
          <t>n/a</t>
        </is>
      </c>
      <c r="L11" t="n">
        <v>0</v>
      </c>
      <c r="M11" t="inlineStr">
        <is>
          <t>n/a</t>
        </is>
      </c>
      <c r="O11" t="n">
        <v>0</v>
      </c>
      <c r="P11" t="n">
        <v>0</v>
      </c>
      <c r="R11" t="n">
        <v>0</v>
      </c>
      <c r="S11" t="n">
        <v>0</v>
      </c>
      <c r="U11" t="n">
        <v>0</v>
      </c>
      <c r="V11" t="n">
        <v>0</v>
      </c>
      <c r="X11">
        <f>IF(COUNTBLANK(E11,H11,K11,N11,Q11,T11,W11)&lt;7,"YES","")</f>
        <v/>
      </c>
    </row>
    <row r="12">
      <c r="A12" t="inlineStr">
        <is>
          <t>Watchmaker</t>
        </is>
      </c>
      <c r="B12" t="inlineStr">
        <is>
          <t>AO4</t>
        </is>
      </c>
      <c r="C12" t="n">
        <v>2730</v>
      </c>
      <c r="D12" t="n">
        <v>1352</v>
      </c>
      <c r="E12" t="inlineStr">
        <is>
          <t>Both</t>
        </is>
      </c>
      <c r="F12" t="n">
        <v>0</v>
      </c>
      <c r="G12" t="n">
        <v>0</v>
      </c>
      <c r="I12" t="n">
        <v>0</v>
      </c>
      <c r="J12" t="inlineStr">
        <is>
          <t>n/a</t>
        </is>
      </c>
      <c r="L12" t="n">
        <v>0</v>
      </c>
      <c r="M12" t="inlineStr">
        <is>
          <t>n/a</t>
        </is>
      </c>
      <c r="O12" t="n">
        <v>0</v>
      </c>
      <c r="P12" t="n">
        <v>0</v>
      </c>
      <c r="R12" t="n">
        <v>0</v>
      </c>
      <c r="S12" t="n">
        <v>0</v>
      </c>
      <c r="U12" t="n">
        <v>0</v>
      </c>
      <c r="V12" t="n">
        <v>0</v>
      </c>
      <c r="X12">
        <f>IF(COUNTBLANK(E12,H12,K12,N12,Q12,T12,W12)&lt;7,"YES","")</f>
        <v/>
      </c>
    </row>
    <row r="13">
      <c r="A13" t="inlineStr">
        <is>
          <t>Watchmaker</t>
        </is>
      </c>
      <c r="B13" t="inlineStr">
        <is>
          <t>AO7</t>
        </is>
      </c>
      <c r="C13" t="n">
        <v>2697</v>
      </c>
      <c r="D13" t="n">
        <v>1138</v>
      </c>
      <c r="E13" t="inlineStr">
        <is>
          <t>Both</t>
        </is>
      </c>
      <c r="F13" t="n">
        <v>57</v>
      </c>
      <c r="G13" t="n">
        <v>45</v>
      </c>
      <c r="H13" t="inlineStr">
        <is>
          <t>Both</t>
        </is>
      </c>
      <c r="I13" t="n">
        <v>0</v>
      </c>
      <c r="J13" t="inlineStr">
        <is>
          <t>n/a</t>
        </is>
      </c>
      <c r="L13" t="n">
        <v>0</v>
      </c>
      <c r="M13" t="inlineStr">
        <is>
          <t>n/a</t>
        </is>
      </c>
      <c r="O13" t="n">
        <v>0</v>
      </c>
      <c r="P13" t="n">
        <v>0</v>
      </c>
      <c r="R13" t="n">
        <v>0</v>
      </c>
      <c r="S13" t="n">
        <v>0</v>
      </c>
      <c r="U13" t="n">
        <v>0</v>
      </c>
      <c r="V13" t="n">
        <v>0</v>
      </c>
      <c r="X13">
        <f>IF(COUNTBLANK(E13,H13,K13,N13,Q13,T13,W13)&lt;7,"YES","")</f>
        <v/>
      </c>
    </row>
    <row r="14">
      <c r="A14" t="inlineStr">
        <is>
          <t>Watchmaker</t>
        </is>
      </c>
      <c r="B14" t="inlineStr">
        <is>
          <t>AA6</t>
        </is>
      </c>
      <c r="C14" t="n">
        <v>0</v>
      </c>
      <c r="D14" t="n">
        <v>0</v>
      </c>
      <c r="F14" t="n">
        <v>0</v>
      </c>
      <c r="G14" t="n">
        <v>0</v>
      </c>
      <c r="I14" t="n">
        <v>0</v>
      </c>
      <c r="J14" t="inlineStr">
        <is>
          <t>n/a</t>
        </is>
      </c>
      <c r="L14" t="n">
        <v>0</v>
      </c>
      <c r="M14" t="inlineStr">
        <is>
          <t>n/a</t>
        </is>
      </c>
      <c r="O14" t="n">
        <v>0</v>
      </c>
      <c r="P14" t="n">
        <v>0</v>
      </c>
      <c r="R14" t="n">
        <v>0</v>
      </c>
      <c r="S14" t="n">
        <v>0</v>
      </c>
      <c r="U14" t="n">
        <v>0</v>
      </c>
      <c r="V14" t="n">
        <v>0</v>
      </c>
      <c r="X14">
        <f>IF(COUNTBLANK(E14,H14,K14,N14,Q14,T14,W14)&lt;7,"YES","")</f>
        <v/>
      </c>
    </row>
    <row r="15">
      <c r="A15" t="inlineStr">
        <is>
          <t>Watchmaker</t>
        </is>
      </c>
      <c r="B15" t="inlineStr">
        <is>
          <t>AA2</t>
        </is>
      </c>
      <c r="C15" t="n">
        <v>0</v>
      </c>
      <c r="D15" t="n">
        <v>0</v>
      </c>
      <c r="F15" t="n">
        <v>0</v>
      </c>
      <c r="G15" t="n">
        <v>0</v>
      </c>
      <c r="I15" t="n">
        <v>0</v>
      </c>
      <c r="J15" t="inlineStr">
        <is>
          <t>n/a</t>
        </is>
      </c>
      <c r="L15" t="n">
        <v>0</v>
      </c>
      <c r="M15" t="inlineStr">
        <is>
          <t>n/a</t>
        </is>
      </c>
      <c r="O15" t="n">
        <v>0</v>
      </c>
      <c r="P15" t="n">
        <v>0</v>
      </c>
      <c r="R15" t="n">
        <v>0</v>
      </c>
      <c r="S15" t="n">
        <v>0</v>
      </c>
      <c r="U15" t="n">
        <v>0</v>
      </c>
      <c r="V15" t="n">
        <v>0</v>
      </c>
      <c r="X15">
        <f>IF(COUNTBLANK(E15,H15,K15,N15,Q15,T15,W15)&lt;7,"YES","")</f>
        <v/>
      </c>
    </row>
    <row r="16">
      <c r="A16" t="inlineStr">
        <is>
          <t>Watchmaker</t>
        </is>
      </c>
      <c r="B16" t="inlineStr">
        <is>
          <t>AA1</t>
        </is>
      </c>
      <c r="C16" t="n">
        <v>1942</v>
      </c>
      <c r="D16" t="n">
        <v>1244</v>
      </c>
      <c r="E16" t="inlineStr">
        <is>
          <t>Both</t>
        </is>
      </c>
      <c r="F16" t="n">
        <v>0</v>
      </c>
      <c r="G16" t="n">
        <v>0</v>
      </c>
      <c r="I16" t="n">
        <v>0</v>
      </c>
      <c r="J16" t="inlineStr">
        <is>
          <t>n/a</t>
        </is>
      </c>
      <c r="L16" t="n">
        <v>0</v>
      </c>
      <c r="M16" t="inlineStr">
        <is>
          <t>n/a</t>
        </is>
      </c>
      <c r="O16" t="n">
        <v>0</v>
      </c>
      <c r="P16" t="n">
        <v>0</v>
      </c>
      <c r="R16" t="n">
        <v>0</v>
      </c>
      <c r="S16" t="n">
        <v>0</v>
      </c>
      <c r="U16" t="n">
        <v>0</v>
      </c>
      <c r="V16" t="n">
        <v>0</v>
      </c>
      <c r="X16">
        <f>IF(COUNTBLANK(E16,H16,K16,N16,Q16,T16,W16)&lt;7,"YES","")</f>
        <v/>
      </c>
    </row>
    <row r="17">
      <c r="A17" t="inlineStr">
        <is>
          <t>Watchmaker</t>
        </is>
      </c>
      <c r="B17" t="inlineStr">
        <is>
          <t>AA3</t>
        </is>
      </c>
      <c r="C17" t="n">
        <v>2191</v>
      </c>
      <c r="D17" t="n">
        <v>1415</v>
      </c>
      <c r="E17" t="inlineStr">
        <is>
          <t>Both</t>
        </is>
      </c>
      <c r="F17" t="n">
        <v>0</v>
      </c>
      <c r="G17" t="n">
        <v>0</v>
      </c>
      <c r="I17" t="n">
        <v>0</v>
      </c>
      <c r="J17" t="inlineStr">
        <is>
          <t>n/a</t>
        </is>
      </c>
      <c r="L17" t="n">
        <v>0</v>
      </c>
      <c r="M17" t="inlineStr">
        <is>
          <t>n/a</t>
        </is>
      </c>
      <c r="O17" t="n">
        <v>0</v>
      </c>
      <c r="P17" t="n">
        <v>1</v>
      </c>
      <c r="Q17" t="inlineStr">
        <is>
          <t>PathSeq only</t>
        </is>
      </c>
      <c r="R17" t="n">
        <v>0</v>
      </c>
      <c r="S17" t="n">
        <v>0</v>
      </c>
      <c r="U17" t="n">
        <v>0</v>
      </c>
      <c r="V17" t="n">
        <v>0</v>
      </c>
      <c r="X17">
        <f>IF(COUNTBLANK(E17,H17,K17,N17,Q17,T17,W17)&lt;7,"YES","")</f>
        <v/>
      </c>
    </row>
    <row r="18">
      <c r="A18" t="inlineStr">
        <is>
          <t>Watchmaker</t>
        </is>
      </c>
      <c r="B18" t="inlineStr">
        <is>
          <t>AA4</t>
        </is>
      </c>
      <c r="C18" t="n">
        <v>0</v>
      </c>
      <c r="D18" t="n">
        <v>0</v>
      </c>
      <c r="F18" t="n">
        <v>0</v>
      </c>
      <c r="G18" t="n">
        <v>0</v>
      </c>
      <c r="I18" t="n">
        <v>0</v>
      </c>
      <c r="J18" t="inlineStr">
        <is>
          <t>n/a</t>
        </is>
      </c>
      <c r="L18" t="n">
        <v>0</v>
      </c>
      <c r="M18" t="inlineStr">
        <is>
          <t>n/a</t>
        </is>
      </c>
      <c r="O18" t="n">
        <v>0</v>
      </c>
      <c r="P18" t="n">
        <v>0</v>
      </c>
      <c r="R18" t="n">
        <v>0</v>
      </c>
      <c r="S18" t="n">
        <v>0</v>
      </c>
      <c r="U18" t="n">
        <v>0</v>
      </c>
      <c r="V18" t="n">
        <v>0</v>
      </c>
      <c r="X18">
        <f>IF(COUNTBLANK(E18,H18,K18,N18,Q18,T18,W18)&lt;7,"YES","")</f>
        <v/>
      </c>
    </row>
    <row r="19">
      <c r="A19" t="inlineStr">
        <is>
          <t>Watchmaker</t>
        </is>
      </c>
      <c r="B19" t="inlineStr">
        <is>
          <t>AA5</t>
        </is>
      </c>
      <c r="C19" t="n">
        <v>0</v>
      </c>
      <c r="D19" t="n">
        <v>0</v>
      </c>
      <c r="F19" t="n">
        <v>0</v>
      </c>
      <c r="G19" t="n">
        <v>0</v>
      </c>
      <c r="I19" t="n">
        <v>0</v>
      </c>
      <c r="J19" t="inlineStr">
        <is>
          <t>n/a</t>
        </is>
      </c>
      <c r="L19" t="n">
        <v>0</v>
      </c>
      <c r="M19" t="inlineStr">
        <is>
          <t>n/a</t>
        </is>
      </c>
      <c r="O19" t="n">
        <v>0</v>
      </c>
      <c r="P19" t="n">
        <v>0</v>
      </c>
      <c r="R19" t="n">
        <v>0</v>
      </c>
      <c r="S19" t="n">
        <v>0</v>
      </c>
      <c r="U19" t="n">
        <v>0</v>
      </c>
      <c r="V19" t="n">
        <v>0</v>
      </c>
      <c r="X19">
        <f>IF(COUNTBLANK(E19,H19,K19,N19,Q19,T19,W19)&lt;7,"YES","")</f>
        <v/>
      </c>
    </row>
    <row r="20">
      <c r="A20" t="inlineStr">
        <is>
          <t>Watchmaker</t>
        </is>
      </c>
      <c r="B20" t="inlineStr">
        <is>
          <t>AO8</t>
        </is>
      </c>
      <c r="C20" t="n">
        <v>3137</v>
      </c>
      <c r="D20" t="n">
        <v>1624</v>
      </c>
      <c r="E20" t="inlineStr">
        <is>
          <t>Both</t>
        </is>
      </c>
      <c r="F20" t="n">
        <v>0</v>
      </c>
      <c r="G20" t="n">
        <v>0</v>
      </c>
      <c r="I20" t="n">
        <v>0</v>
      </c>
      <c r="J20" t="inlineStr">
        <is>
          <t>n/a</t>
        </is>
      </c>
      <c r="L20" t="n">
        <v>0</v>
      </c>
      <c r="M20" t="inlineStr">
        <is>
          <t>n/a</t>
        </is>
      </c>
      <c r="O20" t="n">
        <v>0</v>
      </c>
      <c r="P20" t="n">
        <v>0</v>
      </c>
      <c r="R20" t="n">
        <v>0</v>
      </c>
      <c r="S20" t="n">
        <v>0</v>
      </c>
      <c r="U20" t="n">
        <v>0</v>
      </c>
      <c r="V20" t="n">
        <v>0</v>
      </c>
      <c r="X20">
        <f>IF(COUNTBLANK(E20,H20,K20,N20,Q20,T20,W20)&lt;7,"YES","")</f>
        <v/>
      </c>
    </row>
    <row r="21">
      <c r="A21" t="inlineStr">
        <is>
          <t>Watchmaker</t>
        </is>
      </c>
      <c r="B21" t="inlineStr">
        <is>
          <t>JOA2</t>
        </is>
      </c>
      <c r="C21" t="n">
        <v>3039</v>
      </c>
      <c r="D21" t="n">
        <v>1878</v>
      </c>
      <c r="E21" t="inlineStr">
        <is>
          <t>Both</t>
        </is>
      </c>
      <c r="F21" t="n">
        <v>0</v>
      </c>
      <c r="G21" t="n">
        <v>0</v>
      </c>
      <c r="I21" t="n">
        <v>0</v>
      </c>
      <c r="J21" t="inlineStr">
        <is>
          <t>n/a</t>
        </is>
      </c>
      <c r="L21" t="n">
        <v>0</v>
      </c>
      <c r="M21" t="inlineStr">
        <is>
          <t>n/a</t>
        </is>
      </c>
      <c r="O21" t="n">
        <v>0</v>
      </c>
      <c r="P21" t="n">
        <v>0</v>
      </c>
      <c r="R21" t="n">
        <v>0</v>
      </c>
      <c r="S21" t="n">
        <v>0</v>
      </c>
      <c r="U21" t="n">
        <v>0</v>
      </c>
      <c r="V21" t="n">
        <v>0</v>
      </c>
      <c r="X21">
        <f>IF(COUNTBLANK(E21,H21,K21,N21,Q21,T21,W21)&lt;7,"YES","")</f>
        <v/>
      </c>
    </row>
    <row r="22">
      <c r="A22" t="inlineStr">
        <is>
          <t>Watchmaker</t>
        </is>
      </c>
      <c r="B22" t="inlineStr">
        <is>
          <t>JOA3</t>
        </is>
      </c>
      <c r="C22" t="n">
        <v>1155</v>
      </c>
      <c r="D22" t="n">
        <v>431</v>
      </c>
      <c r="E22" t="inlineStr">
        <is>
          <t>Both</t>
        </is>
      </c>
      <c r="F22" t="n">
        <v>0</v>
      </c>
      <c r="G22" t="n">
        <v>0</v>
      </c>
      <c r="I22" t="n">
        <v>0</v>
      </c>
      <c r="J22" t="inlineStr">
        <is>
          <t>n/a</t>
        </is>
      </c>
      <c r="L22" t="n">
        <v>0</v>
      </c>
      <c r="M22" t="inlineStr">
        <is>
          <t>n/a</t>
        </is>
      </c>
      <c r="O22" t="n">
        <v>0</v>
      </c>
      <c r="P22" t="n">
        <v>0</v>
      </c>
      <c r="R22" t="n">
        <v>0</v>
      </c>
      <c r="S22" t="n">
        <v>0</v>
      </c>
      <c r="U22" t="n">
        <v>0</v>
      </c>
      <c r="V22" t="n">
        <v>0</v>
      </c>
      <c r="X22">
        <f>IF(COUNTBLANK(E22,H22,K22,N22,Q22,T22,W22)&lt;7,"YES","")</f>
        <v/>
      </c>
    </row>
    <row r="23">
      <c r="A23" t="inlineStr">
        <is>
          <t>Watchmaker</t>
        </is>
      </c>
      <c r="B23" t="inlineStr">
        <is>
          <t>JOA1</t>
        </is>
      </c>
      <c r="C23" t="n">
        <v>3575</v>
      </c>
      <c r="D23" t="n">
        <v>2078</v>
      </c>
      <c r="E23" t="inlineStr">
        <is>
          <t>Both</t>
        </is>
      </c>
      <c r="F23" t="n">
        <v>0</v>
      </c>
      <c r="G23" t="n">
        <v>0</v>
      </c>
      <c r="I23" t="n">
        <v>0</v>
      </c>
      <c r="J23" t="inlineStr">
        <is>
          <t>n/a</t>
        </is>
      </c>
      <c r="L23" t="n">
        <v>0</v>
      </c>
      <c r="M23" t="inlineStr">
        <is>
          <t>n/a</t>
        </is>
      </c>
      <c r="O23" t="n">
        <v>0</v>
      </c>
      <c r="P23" t="n">
        <v>0</v>
      </c>
      <c r="R23" t="n">
        <v>0</v>
      </c>
      <c r="S23" t="n">
        <v>0</v>
      </c>
      <c r="U23" t="n">
        <v>0</v>
      </c>
      <c r="V23" t="n">
        <v>0</v>
      </c>
      <c r="X23">
        <f>IF(COUNTBLANK(E23,H23,K23,N23,Q23,T23,W23)&lt;7,"YES","")</f>
        <v/>
      </c>
    </row>
    <row r="24">
      <c r="A24" t="inlineStr">
        <is>
          <t>Watchmaker</t>
        </is>
      </c>
      <c r="B24" t="inlineStr">
        <is>
          <t>JOA6</t>
        </is>
      </c>
      <c r="C24" t="n">
        <v>1738</v>
      </c>
      <c r="D24" t="n">
        <v>884</v>
      </c>
      <c r="E24" t="inlineStr">
        <is>
          <t>Both</t>
        </is>
      </c>
      <c r="F24" t="n">
        <v>0</v>
      </c>
      <c r="G24" t="n">
        <v>0</v>
      </c>
      <c r="I24" t="n">
        <v>0</v>
      </c>
      <c r="J24" t="inlineStr">
        <is>
          <t>n/a</t>
        </is>
      </c>
      <c r="L24" t="n">
        <v>0</v>
      </c>
      <c r="M24" t="inlineStr">
        <is>
          <t>n/a</t>
        </is>
      </c>
      <c r="O24" t="n">
        <v>0</v>
      </c>
      <c r="P24" t="n">
        <v>0</v>
      </c>
      <c r="R24" t="n">
        <v>0</v>
      </c>
      <c r="S24" t="n">
        <v>0</v>
      </c>
      <c r="U24" t="n">
        <v>0</v>
      </c>
      <c r="V24" t="n">
        <v>0</v>
      </c>
      <c r="X24">
        <f>IF(COUNTBLANK(E24,H24,K24,N24,Q24,T24,W24)&lt;7,"YES","")</f>
        <v/>
      </c>
    </row>
    <row r="25">
      <c r="A25" t="inlineStr">
        <is>
          <t>Watchmaker</t>
        </is>
      </c>
      <c r="B25" t="inlineStr">
        <is>
          <t>JOA7</t>
        </is>
      </c>
      <c r="C25" t="n">
        <v>557</v>
      </c>
      <c r="D25" t="n">
        <v>270</v>
      </c>
      <c r="E25" t="inlineStr">
        <is>
          <t>Both</t>
        </is>
      </c>
      <c r="F25" t="n">
        <v>0</v>
      </c>
      <c r="G25" t="n">
        <v>0</v>
      </c>
      <c r="I25" t="n">
        <v>0</v>
      </c>
      <c r="J25" t="inlineStr">
        <is>
          <t>n/a</t>
        </is>
      </c>
      <c r="L25" t="n">
        <v>0</v>
      </c>
      <c r="M25" t="inlineStr">
        <is>
          <t>n/a</t>
        </is>
      </c>
      <c r="O25" t="n">
        <v>0</v>
      </c>
      <c r="P25" t="n">
        <v>0</v>
      </c>
      <c r="R25" t="n">
        <v>0</v>
      </c>
      <c r="S25" t="n">
        <v>0</v>
      </c>
      <c r="U25" t="n">
        <v>0</v>
      </c>
      <c r="V25" t="n">
        <v>0</v>
      </c>
      <c r="X25">
        <f>IF(COUNTBLANK(E25,H25,K25,N25,Q25,T25,W25)&lt;7,"YES","")</f>
        <v/>
      </c>
    </row>
    <row r="26">
      <c r="A26" t="inlineStr">
        <is>
          <t>Watchmaker</t>
        </is>
      </c>
      <c r="B26" t="inlineStr">
        <is>
          <t>JOA8</t>
        </is>
      </c>
      <c r="C26" t="n">
        <v>1389</v>
      </c>
      <c r="D26" t="n">
        <v>536</v>
      </c>
      <c r="E26" t="inlineStr">
        <is>
          <t>Both</t>
        </is>
      </c>
      <c r="F26" t="n">
        <v>0</v>
      </c>
      <c r="G26" t="n">
        <v>0</v>
      </c>
      <c r="I26" t="n">
        <v>0</v>
      </c>
      <c r="J26" t="inlineStr">
        <is>
          <t>n/a</t>
        </is>
      </c>
      <c r="L26" t="n">
        <v>0</v>
      </c>
      <c r="M26" t="inlineStr">
        <is>
          <t>n/a</t>
        </is>
      </c>
      <c r="O26" t="n">
        <v>0</v>
      </c>
      <c r="P26" t="n">
        <v>0</v>
      </c>
      <c r="R26" t="n">
        <v>0</v>
      </c>
      <c r="S26" t="n">
        <v>0</v>
      </c>
      <c r="U26" t="n">
        <v>0</v>
      </c>
      <c r="V26" t="n">
        <v>0</v>
      </c>
      <c r="X26">
        <f>IF(COUNTBLANK(E26,H26,K26,N26,Q26,T26,W26)&lt;7,"YES","")</f>
        <v/>
      </c>
    </row>
    <row r="27">
      <c r="A27" t="inlineStr">
        <is>
          <t>Watchmaker</t>
        </is>
      </c>
      <c r="B27" t="inlineStr">
        <is>
          <t>JOA5</t>
        </is>
      </c>
      <c r="C27" t="n">
        <v>2754</v>
      </c>
      <c r="D27" t="n">
        <v>1501</v>
      </c>
      <c r="E27" t="inlineStr">
        <is>
          <t>Both</t>
        </is>
      </c>
      <c r="F27" t="n">
        <v>0</v>
      </c>
      <c r="G27" t="n">
        <v>0</v>
      </c>
      <c r="I27" t="n">
        <v>0</v>
      </c>
      <c r="J27" t="inlineStr">
        <is>
          <t>n/a</t>
        </is>
      </c>
      <c r="L27" t="n">
        <v>0</v>
      </c>
      <c r="M27" t="inlineStr">
        <is>
          <t>n/a</t>
        </is>
      </c>
      <c r="O27" t="n">
        <v>0</v>
      </c>
      <c r="P27" t="n">
        <v>0</v>
      </c>
      <c r="R27" t="n">
        <v>0</v>
      </c>
      <c r="S27" t="n">
        <v>0</v>
      </c>
      <c r="U27" t="n">
        <v>0</v>
      </c>
      <c r="V27" t="n">
        <v>1</v>
      </c>
      <c r="W27" t="inlineStr">
        <is>
          <t>PathSeq only</t>
        </is>
      </c>
      <c r="X27">
        <f>IF(COUNTBLANK(E27,H27,K27,N27,Q27,T27,W27)&lt;7,"YES","")</f>
        <v/>
      </c>
    </row>
    <row r="28">
      <c r="A28" t="inlineStr">
        <is>
          <t>Watchmaker</t>
        </is>
      </c>
      <c r="B28" t="inlineStr">
        <is>
          <t>JOA4</t>
        </is>
      </c>
      <c r="C28" t="n">
        <v>1272</v>
      </c>
      <c r="D28" t="n">
        <v>477</v>
      </c>
      <c r="E28" t="inlineStr">
        <is>
          <t>Both</t>
        </is>
      </c>
      <c r="F28" t="n">
        <v>0</v>
      </c>
      <c r="G28" t="n">
        <v>0</v>
      </c>
      <c r="I28" t="n">
        <v>0</v>
      </c>
      <c r="J28" t="inlineStr">
        <is>
          <t>n/a</t>
        </is>
      </c>
      <c r="L28" t="n">
        <v>0</v>
      </c>
      <c r="M28" t="inlineStr">
        <is>
          <t>n/a</t>
        </is>
      </c>
      <c r="O28" t="n">
        <v>0</v>
      </c>
      <c r="P28" t="n">
        <v>0</v>
      </c>
      <c r="R28" t="n">
        <v>0</v>
      </c>
      <c r="S28" t="n">
        <v>0</v>
      </c>
      <c r="U28" t="n">
        <v>0</v>
      </c>
      <c r="V28" t="n">
        <v>0</v>
      </c>
      <c r="X28">
        <f>IF(COUNTBLANK(E28,H28,K28,N28,Q28,T28,W28)&lt;7,"YES","")</f>
        <v/>
      </c>
    </row>
    <row r="29">
      <c r="A29" t="inlineStr">
        <is>
          <t>adult_infant_soma_axon</t>
        </is>
      </c>
      <c r="B29" t="inlineStr">
        <is>
          <t>366-1</t>
        </is>
      </c>
      <c r="C29" t="n">
        <v>3531</v>
      </c>
      <c r="D29" t="n">
        <v>2315</v>
      </c>
      <c r="E29" t="inlineStr">
        <is>
          <t>Both</t>
        </is>
      </c>
      <c r="F29" t="n">
        <v>0</v>
      </c>
      <c r="G29" t="n">
        <v>0</v>
      </c>
      <c r="I29" t="n">
        <v>0</v>
      </c>
      <c r="J29" t="inlineStr">
        <is>
          <t>n/a</t>
        </is>
      </c>
      <c r="L29" t="n">
        <v>0</v>
      </c>
      <c r="M29" t="inlineStr">
        <is>
          <t>n/a</t>
        </is>
      </c>
      <c r="O29" t="n">
        <v>0</v>
      </c>
      <c r="P29" t="n">
        <v>0</v>
      </c>
      <c r="R29" t="n">
        <v>0</v>
      </c>
      <c r="S29" t="n">
        <v>0</v>
      </c>
      <c r="U29" t="n">
        <v>0</v>
      </c>
      <c r="V29" t="n">
        <v>0</v>
      </c>
      <c r="X29">
        <f>IF(COUNTBLANK(E29,H29,K29,N29,Q29,T29,W29)&lt;7,"YES","")</f>
        <v/>
      </c>
    </row>
    <row r="30">
      <c r="A30" t="inlineStr">
        <is>
          <t>adult_infant_soma_axon</t>
        </is>
      </c>
      <c r="B30" t="inlineStr">
        <is>
          <t>366-4</t>
        </is>
      </c>
      <c r="C30" t="n">
        <v>2576</v>
      </c>
      <c r="D30" t="n">
        <v>1248</v>
      </c>
      <c r="E30" t="inlineStr">
        <is>
          <t>Both</t>
        </is>
      </c>
      <c r="F30" t="n">
        <v>0</v>
      </c>
      <c r="G30" t="n">
        <v>0</v>
      </c>
      <c r="I30" t="n">
        <v>0</v>
      </c>
      <c r="J30" t="inlineStr">
        <is>
          <t>n/a</t>
        </is>
      </c>
      <c r="L30" t="n">
        <v>0</v>
      </c>
      <c r="M30" t="inlineStr">
        <is>
          <t>n/a</t>
        </is>
      </c>
      <c r="O30" t="n">
        <v>0</v>
      </c>
      <c r="P30" t="n">
        <v>0</v>
      </c>
      <c r="R30" t="n">
        <v>0</v>
      </c>
      <c r="S30" t="n">
        <v>0</v>
      </c>
      <c r="U30" t="n">
        <v>0</v>
      </c>
      <c r="V30" t="n">
        <v>0</v>
      </c>
      <c r="X30">
        <f>IF(COUNTBLANK(E30,H30,K30,N30,Q30,T30,W30)&lt;7,"YES","")</f>
        <v/>
      </c>
    </row>
    <row r="31">
      <c r="A31" t="inlineStr">
        <is>
          <t>adult_infant_soma_axon</t>
        </is>
      </c>
      <c r="B31" t="inlineStr">
        <is>
          <t>366-6</t>
        </is>
      </c>
      <c r="C31" t="n">
        <v>2761</v>
      </c>
      <c r="D31" t="n">
        <v>1254</v>
      </c>
      <c r="E31" t="inlineStr">
        <is>
          <t>Both</t>
        </is>
      </c>
      <c r="F31" t="n">
        <v>0</v>
      </c>
      <c r="G31" t="n">
        <v>0</v>
      </c>
      <c r="I31" t="n">
        <v>0</v>
      </c>
      <c r="J31" t="inlineStr">
        <is>
          <t>n/a</t>
        </is>
      </c>
      <c r="L31" t="n">
        <v>0</v>
      </c>
      <c r="M31" t="inlineStr">
        <is>
          <t>n/a</t>
        </is>
      </c>
      <c r="O31" t="n">
        <v>0</v>
      </c>
      <c r="P31" t="n">
        <v>0</v>
      </c>
      <c r="R31" t="n">
        <v>0</v>
      </c>
      <c r="S31" t="n">
        <v>0</v>
      </c>
      <c r="U31" t="n">
        <v>18</v>
      </c>
      <c r="V31" t="n">
        <v>1</v>
      </c>
      <c r="W31" t="inlineStr">
        <is>
          <t>Both</t>
        </is>
      </c>
      <c r="X31">
        <f>IF(COUNTBLANK(E31,H31,K31,N31,Q31,T31,W31)&lt;7,"YES","")</f>
        <v/>
      </c>
    </row>
    <row r="32">
      <c r="A32" t="inlineStr">
        <is>
          <t>adult_infant_soma_axon</t>
        </is>
      </c>
      <c r="B32" t="inlineStr">
        <is>
          <t>366-3</t>
        </is>
      </c>
      <c r="C32" t="n">
        <v>4442</v>
      </c>
      <c r="D32" t="n">
        <v>2237</v>
      </c>
      <c r="E32" t="inlineStr">
        <is>
          <t>Both</t>
        </is>
      </c>
      <c r="F32" t="n">
        <v>0</v>
      </c>
      <c r="G32" t="n">
        <v>0</v>
      </c>
      <c r="I32" t="n">
        <v>0</v>
      </c>
      <c r="J32" t="inlineStr">
        <is>
          <t>n/a</t>
        </is>
      </c>
      <c r="L32" t="n">
        <v>0</v>
      </c>
      <c r="M32" t="inlineStr">
        <is>
          <t>n/a</t>
        </is>
      </c>
      <c r="O32" t="n">
        <v>0</v>
      </c>
      <c r="P32" t="n">
        <v>1</v>
      </c>
      <c r="Q32" t="inlineStr">
        <is>
          <t>PathSeq only</t>
        </is>
      </c>
      <c r="R32" t="n">
        <v>0</v>
      </c>
      <c r="S32" t="n">
        <v>0</v>
      </c>
      <c r="U32" t="n">
        <v>0</v>
      </c>
      <c r="V32" t="n">
        <v>1</v>
      </c>
      <c r="W32" t="inlineStr">
        <is>
          <t>PathSeq only</t>
        </is>
      </c>
      <c r="X32">
        <f>IF(COUNTBLANK(E32,H32,K32,N32,Q32,T32,W32)&lt;7,"YES","")</f>
        <v/>
      </c>
    </row>
    <row r="33">
      <c r="A33" t="inlineStr">
        <is>
          <t>adult_infant_soma_axon</t>
        </is>
      </c>
      <c r="B33" t="inlineStr">
        <is>
          <t>366-5</t>
        </is>
      </c>
      <c r="C33" t="n">
        <v>3934</v>
      </c>
      <c r="D33" t="n">
        <v>2296</v>
      </c>
      <c r="E33" t="inlineStr">
        <is>
          <t>Both</t>
        </is>
      </c>
      <c r="F33" t="n">
        <v>0</v>
      </c>
      <c r="G33" t="n">
        <v>0</v>
      </c>
      <c r="I33" t="n">
        <v>0</v>
      </c>
      <c r="J33" t="inlineStr">
        <is>
          <t>n/a</t>
        </is>
      </c>
      <c r="L33" t="n">
        <v>0</v>
      </c>
      <c r="M33" t="inlineStr">
        <is>
          <t>n/a</t>
        </is>
      </c>
      <c r="O33" t="n">
        <v>0</v>
      </c>
      <c r="P33" t="n">
        <v>0</v>
      </c>
      <c r="R33" t="n">
        <v>0</v>
      </c>
      <c r="S33" t="n">
        <v>0</v>
      </c>
      <c r="U33" t="n">
        <v>0</v>
      </c>
      <c r="V33" t="n">
        <v>1</v>
      </c>
      <c r="W33" t="inlineStr">
        <is>
          <t>PathSeq only</t>
        </is>
      </c>
      <c r="X33">
        <f>IF(COUNTBLANK(E33,H33,K33,N33,Q33,T33,W33)&lt;7,"YES","")</f>
        <v/>
      </c>
    </row>
    <row r="34">
      <c r="A34" t="inlineStr">
        <is>
          <t>adult_infant_soma_axon</t>
        </is>
      </c>
      <c r="B34" t="inlineStr">
        <is>
          <t>366-10</t>
        </is>
      </c>
      <c r="C34" t="n">
        <v>3073</v>
      </c>
      <c r="D34" t="n">
        <v>1380</v>
      </c>
      <c r="E34" t="inlineStr">
        <is>
          <t>Both</t>
        </is>
      </c>
      <c r="F34" t="n">
        <v>0</v>
      </c>
      <c r="G34" t="n">
        <v>0</v>
      </c>
      <c r="I34" t="n">
        <v>0</v>
      </c>
      <c r="J34" t="inlineStr">
        <is>
          <t>n/a</t>
        </is>
      </c>
      <c r="L34" t="n">
        <v>0</v>
      </c>
      <c r="M34" t="inlineStr">
        <is>
          <t>n/a</t>
        </is>
      </c>
      <c r="O34" t="n">
        <v>0</v>
      </c>
      <c r="P34" t="n">
        <v>0</v>
      </c>
      <c r="R34" t="n">
        <v>0</v>
      </c>
      <c r="S34" t="n">
        <v>0</v>
      </c>
      <c r="U34" t="n">
        <v>24</v>
      </c>
      <c r="V34" t="n">
        <v>1</v>
      </c>
      <c r="W34" t="inlineStr">
        <is>
          <t>Both</t>
        </is>
      </c>
      <c r="X34">
        <f>IF(COUNTBLANK(E34,H34,K34,N34,Q34,T34,W34)&lt;7,"YES","")</f>
        <v/>
      </c>
    </row>
    <row r="35">
      <c r="A35" t="inlineStr">
        <is>
          <t>adult_infant_soma_axon</t>
        </is>
      </c>
      <c r="B35" t="inlineStr">
        <is>
          <t>366-2</t>
        </is>
      </c>
      <c r="C35" t="n">
        <v>3620</v>
      </c>
      <c r="D35" t="n">
        <v>1965</v>
      </c>
      <c r="E35" t="inlineStr">
        <is>
          <t>Both</t>
        </is>
      </c>
      <c r="F35" t="n">
        <v>0</v>
      </c>
      <c r="G35" t="n">
        <v>0</v>
      </c>
      <c r="I35" t="n">
        <v>0</v>
      </c>
      <c r="J35" t="inlineStr">
        <is>
          <t>n/a</t>
        </is>
      </c>
      <c r="L35" t="n">
        <v>0</v>
      </c>
      <c r="M35" t="inlineStr">
        <is>
          <t>n/a</t>
        </is>
      </c>
      <c r="O35" t="n">
        <v>0</v>
      </c>
      <c r="P35" t="n">
        <v>0</v>
      </c>
      <c r="R35" t="n">
        <v>0</v>
      </c>
      <c r="S35" t="n">
        <v>0</v>
      </c>
      <c r="U35" t="n">
        <v>14</v>
      </c>
      <c r="V35" t="n">
        <v>0</v>
      </c>
      <c r="W35" t="inlineStr">
        <is>
          <t>Kraken2 only</t>
        </is>
      </c>
      <c r="X35">
        <f>IF(COUNTBLANK(E35,H35,K35,N35,Q35,T35,W35)&lt;7,"YES","")</f>
        <v/>
      </c>
    </row>
    <row r="36">
      <c r="A36" t="inlineStr">
        <is>
          <t>adult_infant_soma_axon</t>
        </is>
      </c>
      <c r="B36" t="inlineStr">
        <is>
          <t>366-7</t>
        </is>
      </c>
      <c r="C36" t="n">
        <v>4019</v>
      </c>
      <c r="D36" t="n">
        <v>2174</v>
      </c>
      <c r="E36" t="inlineStr">
        <is>
          <t>Both</t>
        </is>
      </c>
      <c r="F36" t="n">
        <v>0</v>
      </c>
      <c r="G36" t="n">
        <v>0</v>
      </c>
      <c r="I36" t="n">
        <v>0</v>
      </c>
      <c r="J36" t="inlineStr">
        <is>
          <t>n/a</t>
        </is>
      </c>
      <c r="L36" t="n">
        <v>0</v>
      </c>
      <c r="M36" t="inlineStr">
        <is>
          <t>n/a</t>
        </is>
      </c>
      <c r="O36" t="n">
        <v>0</v>
      </c>
      <c r="P36" t="n">
        <v>0</v>
      </c>
      <c r="R36" t="n">
        <v>0</v>
      </c>
      <c r="S36" t="n">
        <v>0</v>
      </c>
      <c r="U36" t="n">
        <v>0</v>
      </c>
      <c r="V36" t="n">
        <v>0</v>
      </c>
      <c r="X36">
        <f>IF(COUNTBLANK(E36,H36,K36,N36,Q36,T36,W36)&lt;7,"YES","")</f>
        <v/>
      </c>
    </row>
    <row r="37">
      <c r="A37" t="inlineStr">
        <is>
          <t>adult_infant_soma_axon</t>
        </is>
      </c>
      <c r="B37" t="inlineStr">
        <is>
          <t>366-8</t>
        </is>
      </c>
      <c r="C37" t="n">
        <v>2958</v>
      </c>
      <c r="D37" t="n">
        <v>1672</v>
      </c>
      <c r="E37" t="inlineStr">
        <is>
          <t>Both</t>
        </is>
      </c>
      <c r="F37" t="n">
        <v>0</v>
      </c>
      <c r="G37" t="n">
        <v>0</v>
      </c>
      <c r="I37" t="n">
        <v>0</v>
      </c>
      <c r="J37" t="inlineStr">
        <is>
          <t>n/a</t>
        </is>
      </c>
      <c r="L37" t="n">
        <v>0</v>
      </c>
      <c r="M37" t="inlineStr">
        <is>
          <t>n/a</t>
        </is>
      </c>
      <c r="O37" t="n">
        <v>0</v>
      </c>
      <c r="P37" t="n">
        <v>0</v>
      </c>
      <c r="R37" t="n">
        <v>0</v>
      </c>
      <c r="S37" t="n">
        <v>0</v>
      </c>
      <c r="U37" t="n">
        <v>0</v>
      </c>
      <c r="V37" t="n">
        <v>0</v>
      </c>
      <c r="X37">
        <f>IF(COUNTBLANK(E37,H37,K37,N37,Q37,T37,W37)&lt;7,"YES","")</f>
        <v/>
      </c>
    </row>
    <row r="38">
      <c r="A38" t="inlineStr">
        <is>
          <t>adult_infant_soma_axon</t>
        </is>
      </c>
      <c r="B38" t="inlineStr">
        <is>
          <t>366-9</t>
        </is>
      </c>
      <c r="C38" t="n">
        <v>4971</v>
      </c>
      <c r="D38" t="n">
        <v>2772</v>
      </c>
      <c r="E38" t="inlineStr">
        <is>
          <t>Both</t>
        </is>
      </c>
      <c r="F38" t="n">
        <v>0</v>
      </c>
      <c r="G38" t="n">
        <v>0</v>
      </c>
      <c r="I38" t="n">
        <v>0</v>
      </c>
      <c r="J38" t="inlineStr">
        <is>
          <t>n/a</t>
        </is>
      </c>
      <c r="L38" t="n">
        <v>0</v>
      </c>
      <c r="M38" t="inlineStr">
        <is>
          <t>n/a</t>
        </is>
      </c>
      <c r="O38" t="n">
        <v>0</v>
      </c>
      <c r="P38" t="n">
        <v>0</v>
      </c>
      <c r="R38" t="n">
        <v>0</v>
      </c>
      <c r="S38" t="n">
        <v>0</v>
      </c>
      <c r="U38" t="n">
        <v>0</v>
      </c>
      <c r="V38" t="n">
        <v>0</v>
      </c>
      <c r="X38">
        <f>IF(COUNTBLANK(E38,H38,K38,N38,Q38,T38,W38)&lt;7,"YES","")</f>
        <v/>
      </c>
    </row>
    <row r="39">
      <c r="A39" t="inlineStr">
        <is>
          <t>Thoracic DRG</t>
        </is>
      </c>
      <c r="B39" t="inlineStr">
        <is>
          <t>104T8L</t>
        </is>
      </c>
      <c r="C39" t="n">
        <v>1996</v>
      </c>
      <c r="D39" t="n">
        <v>873</v>
      </c>
      <c r="E39" t="inlineStr">
        <is>
          <t>Both</t>
        </is>
      </c>
      <c r="F39" t="n">
        <v>0</v>
      </c>
      <c r="G39" t="n">
        <v>0</v>
      </c>
      <c r="I39" t="n">
        <v>0</v>
      </c>
      <c r="J39" t="inlineStr">
        <is>
          <t>n/a</t>
        </is>
      </c>
      <c r="L39" t="n">
        <v>0</v>
      </c>
      <c r="M39" t="inlineStr">
        <is>
          <t>n/a</t>
        </is>
      </c>
      <c r="O39" t="n">
        <v>0</v>
      </c>
      <c r="P39" t="n">
        <v>0</v>
      </c>
      <c r="R39" t="n">
        <v>0</v>
      </c>
      <c r="S39" t="n">
        <v>0</v>
      </c>
      <c r="U39" t="n">
        <v>0</v>
      </c>
      <c r="V39" t="n">
        <v>0</v>
      </c>
      <c r="X39">
        <f>IF(COUNTBLANK(E39,H39,K39,N39,Q39,T39,W39)&lt;7,"YES","")</f>
        <v/>
      </c>
    </row>
    <row r="40">
      <c r="A40" t="inlineStr">
        <is>
          <t>Thoracic DRG</t>
        </is>
      </c>
      <c r="B40" t="inlineStr">
        <is>
          <t>101T5L</t>
        </is>
      </c>
      <c r="C40" t="n">
        <v>4940</v>
      </c>
      <c r="D40" t="n">
        <v>2091</v>
      </c>
      <c r="E40" t="inlineStr">
        <is>
          <t>Both</t>
        </is>
      </c>
      <c r="F40" t="n">
        <v>146</v>
      </c>
      <c r="G40" t="n">
        <v>123</v>
      </c>
      <c r="H40" t="inlineStr">
        <is>
          <t>Both</t>
        </is>
      </c>
      <c r="I40" t="n">
        <v>0</v>
      </c>
      <c r="J40" t="inlineStr">
        <is>
          <t>n/a</t>
        </is>
      </c>
      <c r="L40" t="n">
        <v>0</v>
      </c>
      <c r="M40" t="inlineStr">
        <is>
          <t>n/a</t>
        </is>
      </c>
      <c r="O40" t="n">
        <v>0</v>
      </c>
      <c r="P40" t="n">
        <v>0</v>
      </c>
      <c r="R40" t="n">
        <v>0</v>
      </c>
      <c r="S40" t="n">
        <v>0</v>
      </c>
      <c r="U40" t="n">
        <v>0</v>
      </c>
      <c r="V40" t="n">
        <v>0</v>
      </c>
      <c r="X40">
        <f>IF(COUNTBLANK(E40,H40,K40,N40,Q40,T40,W40)&lt;7,"YES","")</f>
        <v/>
      </c>
    </row>
    <row r="41">
      <c r="A41" t="inlineStr">
        <is>
          <t>Thoracic DRG</t>
        </is>
      </c>
      <c r="B41" t="inlineStr">
        <is>
          <t>105T8L</t>
        </is>
      </c>
      <c r="C41" t="n">
        <v>294</v>
      </c>
      <c r="D41" t="n">
        <v>76</v>
      </c>
      <c r="E41" t="inlineStr">
        <is>
          <t>Both</t>
        </is>
      </c>
      <c r="F41" t="n">
        <v>0</v>
      </c>
      <c r="G41" t="n">
        <v>0</v>
      </c>
      <c r="I41" t="n">
        <v>0</v>
      </c>
      <c r="J41" t="inlineStr">
        <is>
          <t>n/a</t>
        </is>
      </c>
      <c r="L41" t="n">
        <v>0</v>
      </c>
      <c r="M41" t="inlineStr">
        <is>
          <t>n/a</t>
        </is>
      </c>
      <c r="O41" t="n">
        <v>0</v>
      </c>
      <c r="P41" t="n">
        <v>0</v>
      </c>
      <c r="R41" t="n">
        <v>0</v>
      </c>
      <c r="S41" t="n">
        <v>0</v>
      </c>
      <c r="U41" t="n">
        <v>0</v>
      </c>
      <c r="V41" t="n">
        <v>0</v>
      </c>
      <c r="X41">
        <f>IF(COUNTBLANK(E41,H41,K41,N41,Q41,T41,W41)&lt;7,"YES","")</f>
        <v/>
      </c>
    </row>
    <row r="42">
      <c r="A42" t="inlineStr">
        <is>
          <t>Thoracic DRG</t>
        </is>
      </c>
      <c r="B42" t="inlineStr">
        <is>
          <t>106T3L</t>
        </is>
      </c>
      <c r="C42" t="n">
        <v>7280</v>
      </c>
      <c r="D42" t="n">
        <v>4227</v>
      </c>
      <c r="E42" t="inlineStr">
        <is>
          <t>Both</t>
        </is>
      </c>
      <c r="F42" t="n">
        <v>0</v>
      </c>
      <c r="G42" t="n">
        <v>10</v>
      </c>
      <c r="H42" t="inlineStr">
        <is>
          <t>PathSeq only</t>
        </is>
      </c>
      <c r="I42" t="n">
        <v>0</v>
      </c>
      <c r="J42" t="inlineStr">
        <is>
          <t>n/a</t>
        </is>
      </c>
      <c r="L42" t="n">
        <v>0</v>
      </c>
      <c r="M42" t="inlineStr">
        <is>
          <t>n/a</t>
        </is>
      </c>
      <c r="O42" t="n">
        <v>0</v>
      </c>
      <c r="P42" t="n">
        <v>0</v>
      </c>
      <c r="R42" t="n">
        <v>0</v>
      </c>
      <c r="S42" t="n">
        <v>0</v>
      </c>
      <c r="U42" t="n">
        <v>111</v>
      </c>
      <c r="V42" t="n">
        <v>0</v>
      </c>
      <c r="W42" t="inlineStr">
        <is>
          <t>Kraken2 only</t>
        </is>
      </c>
      <c r="X42">
        <f>IF(COUNTBLANK(E42,H42,K42,N42,Q42,T42,W42)&lt;7,"YES","")</f>
        <v/>
      </c>
    </row>
    <row r="43">
      <c r="A43" t="inlineStr">
        <is>
          <t>Thoracic DRG</t>
        </is>
      </c>
      <c r="B43" t="inlineStr">
        <is>
          <t>105T8R</t>
        </is>
      </c>
      <c r="C43" t="n">
        <v>3663</v>
      </c>
      <c r="D43" t="n">
        <v>1432</v>
      </c>
      <c r="E43" t="inlineStr">
        <is>
          <t>Both</t>
        </is>
      </c>
      <c r="F43" t="n">
        <v>0</v>
      </c>
      <c r="G43" t="n">
        <v>0</v>
      </c>
      <c r="I43" t="n">
        <v>0</v>
      </c>
      <c r="J43" t="inlineStr">
        <is>
          <t>n/a</t>
        </is>
      </c>
      <c r="L43" t="n">
        <v>0</v>
      </c>
      <c r="M43" t="inlineStr">
        <is>
          <t>n/a</t>
        </is>
      </c>
      <c r="O43" t="n">
        <v>0</v>
      </c>
      <c r="P43" t="n">
        <v>0</v>
      </c>
      <c r="R43" t="n">
        <v>0</v>
      </c>
      <c r="S43" t="n">
        <v>0</v>
      </c>
      <c r="U43" t="n">
        <v>0</v>
      </c>
      <c r="V43" t="n">
        <v>0</v>
      </c>
      <c r="X43">
        <f>IF(COUNTBLANK(E43,H43,K43,N43,Q43,T43,W43)&lt;7,"YES","")</f>
        <v/>
      </c>
    </row>
    <row r="44">
      <c r="A44" t="inlineStr">
        <is>
          <t>Thoracic DRG</t>
        </is>
      </c>
      <c r="B44" t="inlineStr">
        <is>
          <t>104T8R</t>
        </is>
      </c>
      <c r="C44" t="n">
        <v>0</v>
      </c>
      <c r="D44" t="inlineStr">
        <is>
          <t>no PathSeq output</t>
        </is>
      </c>
      <c r="F44" t="n">
        <v>0</v>
      </c>
      <c r="G44" t="inlineStr">
        <is>
          <t>no PathSeq output</t>
        </is>
      </c>
      <c r="I44" t="n">
        <v>0</v>
      </c>
      <c r="J44" t="inlineStr">
        <is>
          <t>n/a</t>
        </is>
      </c>
      <c r="L44" t="n">
        <v>0</v>
      </c>
      <c r="M44" t="inlineStr">
        <is>
          <t>n/a</t>
        </is>
      </c>
      <c r="O44" t="n">
        <v>0</v>
      </c>
      <c r="P44" t="inlineStr">
        <is>
          <t>no PathSeq output</t>
        </is>
      </c>
      <c r="R44" t="n">
        <v>0</v>
      </c>
      <c r="S44" t="inlineStr">
        <is>
          <t>no PathSeq output</t>
        </is>
      </c>
      <c r="U44" t="n">
        <v>0</v>
      </c>
      <c r="V44" t="inlineStr">
        <is>
          <t>no PathSeq output</t>
        </is>
      </c>
      <c r="X44">
        <f>IF(COUNTBLANK(E44,H44,K44,N44,Q44,T44,W44)&lt;7,"YES","")</f>
        <v/>
      </c>
    </row>
    <row r="45">
      <c r="A45" t="inlineStr">
        <is>
          <t>Thoracic DRG</t>
        </is>
      </c>
      <c r="B45" t="inlineStr">
        <is>
          <t>111T9R</t>
        </is>
      </c>
      <c r="C45" t="n">
        <v>958</v>
      </c>
      <c r="D45" t="n">
        <v>555</v>
      </c>
      <c r="E45" t="inlineStr">
        <is>
          <t>Both</t>
        </is>
      </c>
      <c r="F45" t="n">
        <v>0</v>
      </c>
      <c r="G45" t="n">
        <v>0</v>
      </c>
      <c r="I45" t="n">
        <v>18</v>
      </c>
      <c r="J45" t="inlineStr">
        <is>
          <t>n/a</t>
        </is>
      </c>
      <c r="K45" t="inlineStr">
        <is>
          <t>Kraken2 (no PathSeq ref)</t>
        </is>
      </c>
      <c r="L45" t="n">
        <v>0</v>
      </c>
      <c r="M45" t="inlineStr">
        <is>
          <t>n/a</t>
        </is>
      </c>
      <c r="O45" t="n">
        <v>0</v>
      </c>
      <c r="P45" t="n">
        <v>0</v>
      </c>
      <c r="R45" t="n">
        <v>0</v>
      </c>
      <c r="S45" t="n">
        <v>0</v>
      </c>
      <c r="U45" t="n">
        <v>0</v>
      </c>
      <c r="V45" t="n">
        <v>0</v>
      </c>
      <c r="X45">
        <f>IF(COUNTBLANK(E45,H45,K45,N45,Q45,T45,W45)&lt;7,"YES","")</f>
        <v/>
      </c>
    </row>
    <row r="46">
      <c r="A46" t="inlineStr">
        <is>
          <t>Thoracic DRG</t>
        </is>
      </c>
      <c r="B46" t="inlineStr">
        <is>
          <t>106T3R</t>
        </is>
      </c>
      <c r="C46" t="n">
        <v>794</v>
      </c>
      <c r="D46" t="n">
        <v>442</v>
      </c>
      <c r="E46" t="inlineStr">
        <is>
          <t>Both</t>
        </is>
      </c>
      <c r="F46" t="n">
        <v>0</v>
      </c>
      <c r="G46" t="n">
        <v>0</v>
      </c>
      <c r="I46" t="n">
        <v>0</v>
      </c>
      <c r="J46" t="inlineStr">
        <is>
          <t>n/a</t>
        </is>
      </c>
      <c r="L46" t="n">
        <v>0</v>
      </c>
      <c r="M46" t="inlineStr">
        <is>
          <t>n/a</t>
        </is>
      </c>
      <c r="O46" t="n">
        <v>0</v>
      </c>
      <c r="P46" t="n">
        <v>0</v>
      </c>
      <c r="R46" t="n">
        <v>0</v>
      </c>
      <c r="S46" t="n">
        <v>0</v>
      </c>
      <c r="U46" t="n">
        <v>0</v>
      </c>
      <c r="V46" t="n">
        <v>0</v>
      </c>
      <c r="X46">
        <f>IF(COUNTBLANK(E46,H46,K46,N46,Q46,T46,W46)&lt;7,"YES","")</f>
        <v/>
      </c>
    </row>
    <row r="47">
      <c r="A47" t="inlineStr">
        <is>
          <t>Thoracic DRG</t>
        </is>
      </c>
      <c r="B47" t="inlineStr">
        <is>
          <t>113T2R</t>
        </is>
      </c>
      <c r="C47" t="n">
        <v>0</v>
      </c>
      <c r="D47" t="n">
        <v>0</v>
      </c>
      <c r="F47" t="n">
        <v>0</v>
      </c>
      <c r="G47" t="n">
        <v>0</v>
      </c>
      <c r="I47" t="n">
        <v>0</v>
      </c>
      <c r="J47" t="inlineStr">
        <is>
          <t>n/a</t>
        </is>
      </c>
      <c r="L47" t="n">
        <v>0</v>
      </c>
      <c r="M47" t="inlineStr">
        <is>
          <t>n/a</t>
        </is>
      </c>
      <c r="O47" t="n">
        <v>0</v>
      </c>
      <c r="P47" t="n">
        <v>0</v>
      </c>
      <c r="R47" t="n">
        <v>0</v>
      </c>
      <c r="S47" t="n">
        <v>0</v>
      </c>
      <c r="U47" t="n">
        <v>0</v>
      </c>
      <c r="V47" t="n">
        <v>0</v>
      </c>
      <c r="X47">
        <f>IF(COUNTBLANK(E47,H47,K47,N47,Q47,T47,W47)&lt;7,"YES","")</f>
        <v/>
      </c>
    </row>
    <row r="48">
      <c r="A48" t="inlineStr">
        <is>
          <t>Thoracic DRG</t>
        </is>
      </c>
      <c r="B48" t="inlineStr">
        <is>
          <t>115T7R</t>
        </is>
      </c>
      <c r="C48" t="n">
        <v>604</v>
      </c>
      <c r="D48" t="n">
        <v>368</v>
      </c>
      <c r="E48" t="inlineStr">
        <is>
          <t>Both</t>
        </is>
      </c>
      <c r="F48" t="n">
        <v>0</v>
      </c>
      <c r="G48" t="n">
        <v>0</v>
      </c>
      <c r="I48" t="n">
        <v>0</v>
      </c>
      <c r="J48" t="inlineStr">
        <is>
          <t>n/a</t>
        </is>
      </c>
      <c r="L48" t="n">
        <v>0</v>
      </c>
      <c r="M48" t="inlineStr">
        <is>
          <t>n/a</t>
        </is>
      </c>
      <c r="O48" t="n">
        <v>0</v>
      </c>
      <c r="P48" t="n">
        <v>0</v>
      </c>
      <c r="R48" t="n">
        <v>0</v>
      </c>
      <c r="S48" t="n">
        <v>0</v>
      </c>
      <c r="U48" t="n">
        <v>0</v>
      </c>
      <c r="V48" t="n">
        <v>0</v>
      </c>
      <c r="X48">
        <f>IF(COUNTBLANK(E48,H48,K48,N48,Q48,T48,W48)&lt;7,"YES","")</f>
        <v/>
      </c>
    </row>
    <row r="49">
      <c r="A49" t="inlineStr">
        <is>
          <t>Thoracic DRG</t>
        </is>
      </c>
      <c r="B49" t="inlineStr">
        <is>
          <t>114T11L</t>
        </is>
      </c>
      <c r="C49" t="n">
        <v>2189</v>
      </c>
      <c r="D49" t="n">
        <v>1270</v>
      </c>
      <c r="E49" t="inlineStr">
        <is>
          <t>Both</t>
        </is>
      </c>
      <c r="F49" t="n">
        <v>0</v>
      </c>
      <c r="G49" t="n">
        <v>0</v>
      </c>
      <c r="I49" t="n">
        <v>0</v>
      </c>
      <c r="J49" t="inlineStr">
        <is>
          <t>n/a</t>
        </is>
      </c>
      <c r="L49" t="n">
        <v>0</v>
      </c>
      <c r="M49" t="inlineStr">
        <is>
          <t>n/a</t>
        </is>
      </c>
      <c r="O49" t="n">
        <v>0</v>
      </c>
      <c r="P49" t="n">
        <v>0</v>
      </c>
      <c r="R49" t="n">
        <v>0</v>
      </c>
      <c r="S49" t="n">
        <v>0</v>
      </c>
      <c r="U49" t="n">
        <v>0</v>
      </c>
      <c r="V49" t="n">
        <v>0</v>
      </c>
      <c r="X49">
        <f>IF(COUNTBLANK(E49,H49,K49,N49,Q49,T49,W49)&lt;7,"YES","")</f>
        <v/>
      </c>
    </row>
    <row r="50">
      <c r="A50" t="inlineStr">
        <is>
          <t>Thoracic DRG</t>
        </is>
      </c>
      <c r="B50" t="inlineStr">
        <is>
          <t>109T3</t>
        </is>
      </c>
      <c r="C50" t="n">
        <v>13228</v>
      </c>
      <c r="D50" t="n">
        <v>7784</v>
      </c>
      <c r="E50" t="inlineStr">
        <is>
          <t>Both</t>
        </is>
      </c>
      <c r="F50" t="n">
        <v>0</v>
      </c>
      <c r="G50" t="n">
        <v>0</v>
      </c>
      <c r="I50" t="n">
        <v>0</v>
      </c>
      <c r="J50" t="inlineStr">
        <is>
          <t>n/a</t>
        </is>
      </c>
      <c r="L50" t="n">
        <v>0</v>
      </c>
      <c r="M50" t="inlineStr">
        <is>
          <t>n/a</t>
        </is>
      </c>
      <c r="O50" t="n">
        <v>0</v>
      </c>
      <c r="P50" t="n">
        <v>3</v>
      </c>
      <c r="Q50" t="inlineStr">
        <is>
          <t>PathSeq only</t>
        </is>
      </c>
      <c r="R50" t="n">
        <v>17</v>
      </c>
      <c r="S50" t="n">
        <v>23</v>
      </c>
      <c r="T50" t="inlineStr">
        <is>
          <t>Both</t>
        </is>
      </c>
      <c r="U50" t="n">
        <v>109</v>
      </c>
      <c r="V50" t="n">
        <v>0</v>
      </c>
      <c r="W50" t="inlineStr">
        <is>
          <t>Kraken2 only</t>
        </is>
      </c>
      <c r="X50">
        <f>IF(COUNTBLANK(E50,H50,K50,N50,Q50,T50,W50)&lt;7,"YES","")</f>
        <v/>
      </c>
    </row>
    <row r="51">
      <c r="A51" t="inlineStr">
        <is>
          <t>Thoracic DRG</t>
        </is>
      </c>
      <c r="B51" t="inlineStr">
        <is>
          <t>116TR5</t>
        </is>
      </c>
      <c r="C51" t="n">
        <v>0</v>
      </c>
      <c r="D51" t="n">
        <v>0</v>
      </c>
      <c r="F51" t="n">
        <v>0</v>
      </c>
      <c r="G51" t="n">
        <v>0</v>
      </c>
      <c r="I51" t="n">
        <v>0</v>
      </c>
      <c r="J51" t="inlineStr">
        <is>
          <t>n/a</t>
        </is>
      </c>
      <c r="L51" t="n">
        <v>0</v>
      </c>
      <c r="M51" t="inlineStr">
        <is>
          <t>n/a</t>
        </is>
      </c>
      <c r="O51" t="n">
        <v>0</v>
      </c>
      <c r="P51" t="n">
        <v>0</v>
      </c>
      <c r="R51" t="n">
        <v>0</v>
      </c>
      <c r="S51" t="n">
        <v>0</v>
      </c>
      <c r="U51" t="n">
        <v>0</v>
      </c>
      <c r="V51" t="n">
        <v>0</v>
      </c>
      <c r="X51">
        <f>IF(COUNTBLANK(E51,H51,K51,N51,Q51,T51,W51)&lt;7,"YES","")</f>
        <v/>
      </c>
    </row>
    <row r="52">
      <c r="A52" t="inlineStr">
        <is>
          <t>Thoracic DRG</t>
        </is>
      </c>
      <c r="B52" t="inlineStr">
        <is>
          <t>115T8L</t>
        </is>
      </c>
      <c r="C52" t="n">
        <v>891</v>
      </c>
      <c r="D52" t="n">
        <v>643</v>
      </c>
      <c r="E52" t="inlineStr">
        <is>
          <t>Both</t>
        </is>
      </c>
      <c r="F52" t="n">
        <v>0</v>
      </c>
      <c r="G52" t="n">
        <v>0</v>
      </c>
      <c r="I52" t="n">
        <v>58</v>
      </c>
      <c r="J52" t="inlineStr">
        <is>
          <t>n/a</t>
        </is>
      </c>
      <c r="K52" t="inlineStr">
        <is>
          <t>Kraken2 (no PathSeq ref)</t>
        </is>
      </c>
      <c r="L52" t="n">
        <v>0</v>
      </c>
      <c r="M52" t="inlineStr">
        <is>
          <t>n/a</t>
        </is>
      </c>
      <c r="O52" t="n">
        <v>0</v>
      </c>
      <c r="P52" t="n">
        <v>0</v>
      </c>
      <c r="R52" t="n">
        <v>0</v>
      </c>
      <c r="S52" t="n">
        <v>0</v>
      </c>
      <c r="U52" t="n">
        <v>0</v>
      </c>
      <c r="V52" t="n">
        <v>0</v>
      </c>
      <c r="X52">
        <f>IF(COUNTBLANK(E52,H52,K52,N52,Q52,T52,W52)&lt;7,"YES","")</f>
        <v/>
      </c>
    </row>
    <row r="53">
      <c r="A53" t="inlineStr">
        <is>
          <t>Thoracic DRG</t>
        </is>
      </c>
      <c r="B53" t="inlineStr">
        <is>
          <t>80T2R</t>
        </is>
      </c>
      <c r="C53" t="n">
        <v>4563</v>
      </c>
      <c r="D53" t="n">
        <v>2308</v>
      </c>
      <c r="E53" t="inlineStr">
        <is>
          <t>Both</t>
        </is>
      </c>
      <c r="F53" t="n">
        <v>38</v>
      </c>
      <c r="G53" t="n">
        <v>32</v>
      </c>
      <c r="H53" t="inlineStr">
        <is>
          <t>Both</t>
        </is>
      </c>
      <c r="I53" t="n">
        <v>0</v>
      </c>
      <c r="J53" t="inlineStr">
        <is>
          <t>n/a</t>
        </is>
      </c>
      <c r="L53" t="n">
        <v>0</v>
      </c>
      <c r="M53" t="inlineStr">
        <is>
          <t>n/a</t>
        </is>
      </c>
      <c r="O53" t="n">
        <v>0</v>
      </c>
      <c r="P53" t="n">
        <v>0</v>
      </c>
      <c r="R53" t="n">
        <v>0</v>
      </c>
      <c r="S53" t="n">
        <v>0</v>
      </c>
      <c r="U53" t="n">
        <v>0</v>
      </c>
      <c r="V53" t="n">
        <v>0</v>
      </c>
      <c r="X53">
        <f>IF(COUNTBLANK(E53,H53,K53,N53,Q53,T53,W53)&lt;7,"YES","")</f>
        <v/>
      </c>
    </row>
    <row r="54">
      <c r="A54" t="inlineStr">
        <is>
          <t>Thoracic DRG</t>
        </is>
      </c>
      <c r="B54" t="inlineStr">
        <is>
          <t>117T7L</t>
        </is>
      </c>
      <c r="C54" t="n">
        <v>311</v>
      </c>
      <c r="D54" t="n">
        <v>196</v>
      </c>
      <c r="E54" t="inlineStr">
        <is>
          <t>Both</t>
        </is>
      </c>
      <c r="F54" t="n">
        <v>0</v>
      </c>
      <c r="G54" t="n">
        <v>0</v>
      </c>
      <c r="I54" t="n">
        <v>0</v>
      </c>
      <c r="J54" t="inlineStr">
        <is>
          <t>n/a</t>
        </is>
      </c>
      <c r="L54" t="n">
        <v>0</v>
      </c>
      <c r="M54" t="inlineStr">
        <is>
          <t>n/a</t>
        </is>
      </c>
      <c r="O54" t="n">
        <v>0</v>
      </c>
      <c r="P54" t="n">
        <v>0</v>
      </c>
      <c r="R54" t="n">
        <v>0</v>
      </c>
      <c r="S54" t="n">
        <v>0</v>
      </c>
      <c r="U54" t="n">
        <v>0</v>
      </c>
      <c r="V54" t="n">
        <v>0</v>
      </c>
      <c r="X54">
        <f>IF(COUNTBLANK(E54,H54,K54,N54,Q54,T54,W54)&lt;7,"YES","")</f>
        <v/>
      </c>
    </row>
    <row r="55">
      <c r="A55" t="inlineStr">
        <is>
          <t>Thoracic DRG</t>
        </is>
      </c>
      <c r="B55" t="inlineStr">
        <is>
          <t>117T7R</t>
        </is>
      </c>
      <c r="C55" t="n">
        <v>328</v>
      </c>
      <c r="D55" t="n">
        <v>147</v>
      </c>
      <c r="E55" t="inlineStr">
        <is>
          <t>Both</t>
        </is>
      </c>
      <c r="F55" t="n">
        <v>0</v>
      </c>
      <c r="G55" t="n">
        <v>0</v>
      </c>
      <c r="I55" t="n">
        <v>0</v>
      </c>
      <c r="J55" t="inlineStr">
        <is>
          <t>n/a</t>
        </is>
      </c>
      <c r="L55" t="n">
        <v>0</v>
      </c>
      <c r="M55" t="inlineStr">
        <is>
          <t>n/a</t>
        </is>
      </c>
      <c r="O55" t="n">
        <v>0</v>
      </c>
      <c r="P55" t="n">
        <v>0</v>
      </c>
      <c r="R55" t="n">
        <v>0</v>
      </c>
      <c r="S55" t="n">
        <v>0</v>
      </c>
      <c r="U55" t="n">
        <v>0</v>
      </c>
      <c r="V55" t="n">
        <v>0</v>
      </c>
      <c r="X55">
        <f>IF(COUNTBLANK(E55,H55,K55,N55,Q55,T55,W55)&lt;7,"YES","")</f>
        <v/>
      </c>
    </row>
    <row r="56">
      <c r="A56" t="inlineStr">
        <is>
          <t>Thoracic DRG</t>
        </is>
      </c>
      <c r="B56" t="inlineStr">
        <is>
          <t>84T5R</t>
        </is>
      </c>
      <c r="C56" t="n">
        <v>1790</v>
      </c>
      <c r="D56" t="n">
        <v>1347</v>
      </c>
      <c r="E56" t="inlineStr">
        <is>
          <t>Both</t>
        </is>
      </c>
      <c r="F56" t="n">
        <v>0</v>
      </c>
      <c r="G56" t="n">
        <v>0</v>
      </c>
      <c r="I56" t="n">
        <v>0</v>
      </c>
      <c r="J56" t="inlineStr">
        <is>
          <t>n/a</t>
        </is>
      </c>
      <c r="L56" t="n">
        <v>0</v>
      </c>
      <c r="M56" t="inlineStr">
        <is>
          <t>n/a</t>
        </is>
      </c>
      <c r="O56" t="n">
        <v>0</v>
      </c>
      <c r="P56" t="n">
        <v>0</v>
      </c>
      <c r="R56" t="n">
        <v>0</v>
      </c>
      <c r="S56" t="n">
        <v>0</v>
      </c>
      <c r="U56" t="n">
        <v>0</v>
      </c>
      <c r="V56" t="n">
        <v>0</v>
      </c>
      <c r="X56">
        <f>IF(COUNTBLANK(E56,H56,K56,N56,Q56,T56,W56)&lt;7,"YES","")</f>
        <v/>
      </c>
    </row>
    <row r="57">
      <c r="A57" t="inlineStr">
        <is>
          <t>Thoracic DRG</t>
        </is>
      </c>
      <c r="B57" t="inlineStr">
        <is>
          <t>83T8R</t>
        </is>
      </c>
      <c r="C57" t="n">
        <v>851</v>
      </c>
      <c r="D57" t="n">
        <v>541</v>
      </c>
      <c r="E57" t="inlineStr">
        <is>
          <t>Both</t>
        </is>
      </c>
      <c r="F57" t="n">
        <v>0</v>
      </c>
      <c r="G57" t="n">
        <v>0</v>
      </c>
      <c r="I57" t="n">
        <v>0</v>
      </c>
      <c r="J57" t="inlineStr">
        <is>
          <t>n/a</t>
        </is>
      </c>
      <c r="L57" t="n">
        <v>0</v>
      </c>
      <c r="M57" t="inlineStr">
        <is>
          <t>n/a</t>
        </is>
      </c>
      <c r="O57" t="n">
        <v>0</v>
      </c>
      <c r="P57" t="n">
        <v>0</v>
      </c>
      <c r="R57" t="n">
        <v>0</v>
      </c>
      <c r="S57" t="n">
        <v>0</v>
      </c>
      <c r="U57" t="n">
        <v>0</v>
      </c>
      <c r="V57" t="n">
        <v>0</v>
      </c>
      <c r="X57">
        <f>IF(COUNTBLANK(E57,H57,K57,N57,Q57,T57,W57)&lt;7,"YES","")</f>
        <v/>
      </c>
    </row>
    <row r="58">
      <c r="A58" t="inlineStr">
        <is>
          <t>Thoracic DRG</t>
        </is>
      </c>
      <c r="B58" t="inlineStr">
        <is>
          <t>118T8R</t>
        </is>
      </c>
      <c r="C58" t="n">
        <v>0</v>
      </c>
      <c r="D58" t="n">
        <v>0</v>
      </c>
      <c r="F58" t="n">
        <v>0</v>
      </c>
      <c r="G58" t="n">
        <v>0</v>
      </c>
      <c r="I58" t="n">
        <v>0</v>
      </c>
      <c r="J58" t="inlineStr">
        <is>
          <t>n/a</t>
        </is>
      </c>
      <c r="L58" t="n">
        <v>0</v>
      </c>
      <c r="M58" t="inlineStr">
        <is>
          <t>n/a</t>
        </is>
      </c>
      <c r="O58" t="n">
        <v>0</v>
      </c>
      <c r="P58" t="n">
        <v>0</v>
      </c>
      <c r="R58" t="n">
        <v>0</v>
      </c>
      <c r="S58" t="n">
        <v>0</v>
      </c>
      <c r="U58" t="n">
        <v>0</v>
      </c>
      <c r="V58" t="n">
        <v>0</v>
      </c>
      <c r="X58">
        <f>IF(COUNTBLANK(E58,H58,K58,N58,Q58,T58,W58)&lt;7,"YES","")</f>
        <v/>
      </c>
    </row>
    <row r="59">
      <c r="A59" t="inlineStr">
        <is>
          <t>Thoracic DRG</t>
        </is>
      </c>
      <c r="B59" t="inlineStr">
        <is>
          <t>84T8L</t>
        </is>
      </c>
      <c r="C59" t="n">
        <v>6302</v>
      </c>
      <c r="D59" t="n">
        <v>4071</v>
      </c>
      <c r="E59" t="inlineStr">
        <is>
          <t>Both</t>
        </is>
      </c>
      <c r="F59" t="n">
        <v>0</v>
      </c>
      <c r="G59" t="n">
        <v>0</v>
      </c>
      <c r="I59" t="n">
        <v>0</v>
      </c>
      <c r="J59" t="inlineStr">
        <is>
          <t>n/a</t>
        </is>
      </c>
      <c r="L59" t="n">
        <v>0</v>
      </c>
      <c r="M59" t="inlineStr">
        <is>
          <t>n/a</t>
        </is>
      </c>
      <c r="O59" t="n">
        <v>0</v>
      </c>
      <c r="P59" t="n">
        <v>0</v>
      </c>
      <c r="R59" t="n">
        <v>0</v>
      </c>
      <c r="S59" t="n">
        <v>0</v>
      </c>
      <c r="U59" t="n">
        <v>0</v>
      </c>
      <c r="V59" t="n">
        <v>0</v>
      </c>
      <c r="X59">
        <f>IF(COUNTBLANK(E59,H59,K59,N59,Q59,T59,W59)&lt;7,"YES","")</f>
        <v/>
      </c>
    </row>
    <row r="60">
      <c r="A60" t="inlineStr">
        <is>
          <t>Thoracic DRG</t>
        </is>
      </c>
      <c r="B60" t="inlineStr">
        <is>
          <t>85T3R</t>
        </is>
      </c>
      <c r="C60" t="n">
        <v>1507</v>
      </c>
      <c r="D60" t="n">
        <v>914</v>
      </c>
      <c r="E60" t="inlineStr">
        <is>
          <t>Both</t>
        </is>
      </c>
      <c r="F60" t="n">
        <v>0</v>
      </c>
      <c r="G60" t="n">
        <v>0</v>
      </c>
      <c r="I60" t="n">
        <v>0</v>
      </c>
      <c r="J60" t="inlineStr">
        <is>
          <t>n/a</t>
        </is>
      </c>
      <c r="L60" t="n">
        <v>0</v>
      </c>
      <c r="M60" t="inlineStr">
        <is>
          <t>n/a</t>
        </is>
      </c>
      <c r="O60" t="n">
        <v>0</v>
      </c>
      <c r="P60" t="n">
        <v>0</v>
      </c>
      <c r="R60" t="n">
        <v>0</v>
      </c>
      <c r="S60" t="n">
        <v>0</v>
      </c>
      <c r="U60" t="n">
        <v>0</v>
      </c>
      <c r="V60" t="n">
        <v>0</v>
      </c>
      <c r="X60">
        <f>IF(COUNTBLANK(E60,H60,K60,N60,Q60,T60,W60)&lt;7,"YES","")</f>
        <v/>
      </c>
    </row>
    <row r="61">
      <c r="A61" t="inlineStr">
        <is>
          <t>Thoracic DRG</t>
        </is>
      </c>
      <c r="B61" t="inlineStr">
        <is>
          <t>85T3L</t>
        </is>
      </c>
      <c r="C61" t="n">
        <v>0</v>
      </c>
      <c r="D61" t="n">
        <v>0</v>
      </c>
      <c r="F61" t="n">
        <v>0</v>
      </c>
      <c r="G61" t="n">
        <v>0</v>
      </c>
      <c r="I61" t="n">
        <v>0</v>
      </c>
      <c r="J61" t="inlineStr">
        <is>
          <t>n/a</t>
        </is>
      </c>
      <c r="L61" t="n">
        <v>0</v>
      </c>
      <c r="M61" t="inlineStr">
        <is>
          <t>n/a</t>
        </is>
      </c>
      <c r="O61" t="n">
        <v>0</v>
      </c>
      <c r="P61" t="n">
        <v>0</v>
      </c>
      <c r="R61" t="n">
        <v>0</v>
      </c>
      <c r="S61" t="n">
        <v>0</v>
      </c>
      <c r="U61" t="n">
        <v>0</v>
      </c>
      <c r="V61" t="n">
        <v>0</v>
      </c>
      <c r="X61">
        <f>IF(COUNTBLANK(E61,H61,K61,N61,Q61,T61,W61)&lt;7,"YES","")</f>
        <v/>
      </c>
    </row>
    <row r="62">
      <c r="A62" t="inlineStr">
        <is>
          <t>Thoracic DRG</t>
        </is>
      </c>
      <c r="B62" t="inlineStr">
        <is>
          <t>114T12R</t>
        </is>
      </c>
      <c r="C62" t="n">
        <v>1789</v>
      </c>
      <c r="D62" t="n">
        <v>1202</v>
      </c>
      <c r="E62" t="inlineStr">
        <is>
          <t>Both</t>
        </is>
      </c>
      <c r="F62" t="n">
        <v>0</v>
      </c>
      <c r="G62" t="n">
        <v>0</v>
      </c>
      <c r="I62" t="n">
        <v>25</v>
      </c>
      <c r="J62" t="inlineStr">
        <is>
          <t>n/a</t>
        </is>
      </c>
      <c r="K62" t="inlineStr">
        <is>
          <t>Kraken2 (no PathSeq ref)</t>
        </is>
      </c>
      <c r="L62" t="n">
        <v>0</v>
      </c>
      <c r="M62" t="inlineStr">
        <is>
          <t>n/a</t>
        </is>
      </c>
      <c r="O62" t="n">
        <v>0</v>
      </c>
      <c r="P62" t="n">
        <v>0</v>
      </c>
      <c r="R62" t="n">
        <v>0</v>
      </c>
      <c r="S62" t="n">
        <v>0</v>
      </c>
      <c r="U62" t="n">
        <v>0</v>
      </c>
      <c r="V62" t="n">
        <v>0</v>
      </c>
      <c r="X62">
        <f>IF(COUNTBLANK(E62,H62,K62,N62,Q62,T62,W62)&lt;7,"YES","")</f>
        <v/>
      </c>
    </row>
    <row r="63">
      <c r="A63" t="inlineStr">
        <is>
          <t>mgoexplant_saad</t>
        </is>
      </c>
      <c r="B63" t="inlineStr">
        <is>
          <t>Saad-2</t>
        </is>
      </c>
      <c r="C63" t="n">
        <v>0</v>
      </c>
      <c r="D63" t="n">
        <v>0</v>
      </c>
      <c r="F63" t="n">
        <v>0</v>
      </c>
      <c r="G63" t="n">
        <v>0</v>
      </c>
      <c r="I63" t="n">
        <v>0</v>
      </c>
      <c r="J63" t="inlineStr">
        <is>
          <t>n/a</t>
        </is>
      </c>
      <c r="L63" t="n">
        <v>0</v>
      </c>
      <c r="M63" t="inlineStr">
        <is>
          <t>n/a</t>
        </is>
      </c>
      <c r="O63" t="n">
        <v>0</v>
      </c>
      <c r="P63" t="n">
        <v>0</v>
      </c>
      <c r="R63" t="n">
        <v>0</v>
      </c>
      <c r="S63" t="n">
        <v>0</v>
      </c>
      <c r="U63" t="n">
        <v>0</v>
      </c>
      <c r="V63" t="n">
        <v>0</v>
      </c>
      <c r="X63">
        <f>IF(COUNTBLANK(E63,H63,K63,N63,Q63,T63,W63)&lt;7,"YES","")</f>
        <v/>
      </c>
    </row>
    <row r="64">
      <c r="A64" t="inlineStr">
        <is>
          <t>mgoexplant_saad</t>
        </is>
      </c>
      <c r="B64" t="inlineStr">
        <is>
          <t>Saad-1</t>
        </is>
      </c>
      <c r="C64" t="n">
        <v>4117</v>
      </c>
      <c r="D64" t="n">
        <v>3036</v>
      </c>
      <c r="E64" t="inlineStr">
        <is>
          <t>Both</t>
        </is>
      </c>
      <c r="F64" t="n">
        <v>0</v>
      </c>
      <c r="G64" t="n">
        <v>0</v>
      </c>
      <c r="I64" t="n">
        <v>0</v>
      </c>
      <c r="J64" t="inlineStr">
        <is>
          <t>n/a</t>
        </is>
      </c>
      <c r="L64" t="n">
        <v>0</v>
      </c>
      <c r="M64" t="inlineStr">
        <is>
          <t>n/a</t>
        </is>
      </c>
      <c r="O64" t="n">
        <v>0</v>
      </c>
      <c r="P64" t="n">
        <v>0</v>
      </c>
      <c r="R64" t="n">
        <v>0</v>
      </c>
      <c r="S64" t="n">
        <v>0</v>
      </c>
      <c r="U64" t="n">
        <v>0</v>
      </c>
      <c r="V64" t="n">
        <v>0</v>
      </c>
      <c r="X64">
        <f>IF(COUNTBLANK(E64,H64,K64,N64,Q64,T64,W64)&lt;7,"YES","")</f>
        <v/>
      </c>
    </row>
    <row r="65">
      <c r="A65" t="inlineStr">
        <is>
          <t>mgoexplant_saad</t>
        </is>
      </c>
      <c r="B65" t="inlineStr">
        <is>
          <t>Saad-3</t>
        </is>
      </c>
      <c r="C65" t="n">
        <v>5272</v>
      </c>
      <c r="D65" t="n">
        <v>3917</v>
      </c>
      <c r="E65" t="inlineStr">
        <is>
          <t>Both</t>
        </is>
      </c>
      <c r="F65" t="n">
        <v>0</v>
      </c>
      <c r="G65" t="n">
        <v>0</v>
      </c>
      <c r="I65" t="n">
        <v>0</v>
      </c>
      <c r="J65" t="inlineStr">
        <is>
          <t>n/a</t>
        </is>
      </c>
      <c r="L65" t="n">
        <v>0</v>
      </c>
      <c r="M65" t="inlineStr">
        <is>
          <t>n/a</t>
        </is>
      </c>
      <c r="O65" t="n">
        <v>0</v>
      </c>
      <c r="P65" t="n">
        <v>0</v>
      </c>
      <c r="R65" t="n">
        <v>0</v>
      </c>
      <c r="S65" t="n">
        <v>0</v>
      </c>
      <c r="U65" t="n">
        <v>10</v>
      </c>
      <c r="V65" t="n">
        <v>0</v>
      </c>
      <c r="W65" t="inlineStr">
        <is>
          <t>Kraken2 only</t>
        </is>
      </c>
      <c r="X65">
        <f>IF(COUNTBLANK(E65,H65,K65,N65,Q65,T65,W65)&lt;7,"YES","")</f>
        <v/>
      </c>
    </row>
    <row r="66">
      <c r="A66" t="inlineStr">
        <is>
          <t>mgoexplant_saad</t>
        </is>
      </c>
      <c r="B66" t="inlineStr">
        <is>
          <t>Saad-5</t>
        </is>
      </c>
      <c r="C66" t="n">
        <v>1759</v>
      </c>
      <c r="D66" t="n">
        <v>1446</v>
      </c>
      <c r="E66" t="inlineStr">
        <is>
          <t>Both</t>
        </is>
      </c>
      <c r="F66" t="n">
        <v>0</v>
      </c>
      <c r="G66" t="n">
        <v>0</v>
      </c>
      <c r="I66" t="n">
        <v>0</v>
      </c>
      <c r="J66" t="inlineStr">
        <is>
          <t>n/a</t>
        </is>
      </c>
      <c r="L66" t="n">
        <v>0</v>
      </c>
      <c r="M66" t="inlineStr">
        <is>
          <t>n/a</t>
        </is>
      </c>
      <c r="O66" t="n">
        <v>0</v>
      </c>
      <c r="P66" t="n">
        <v>0</v>
      </c>
      <c r="R66" t="n">
        <v>0</v>
      </c>
      <c r="S66" t="n">
        <v>0</v>
      </c>
      <c r="U66" t="n">
        <v>0</v>
      </c>
      <c r="V66" t="n">
        <v>0</v>
      </c>
      <c r="X66">
        <f>IF(COUNTBLANK(E66,H66,K66,N66,Q66,T66,W66)&lt;7,"YES","")</f>
        <v/>
      </c>
    </row>
    <row r="67">
      <c r="A67" t="inlineStr">
        <is>
          <t>mgoexplant_saad</t>
        </is>
      </c>
      <c r="B67" t="inlineStr">
        <is>
          <t>Saad-4</t>
        </is>
      </c>
      <c r="C67" t="n">
        <v>2474</v>
      </c>
      <c r="D67" t="n">
        <v>1972</v>
      </c>
      <c r="E67" t="inlineStr">
        <is>
          <t>Both</t>
        </is>
      </c>
      <c r="F67" t="n">
        <v>0</v>
      </c>
      <c r="G67" t="n">
        <v>0</v>
      </c>
      <c r="I67" t="n">
        <v>0</v>
      </c>
      <c r="J67" t="inlineStr">
        <is>
          <t>n/a</t>
        </is>
      </c>
      <c r="L67" t="n">
        <v>0</v>
      </c>
      <c r="M67" t="inlineStr">
        <is>
          <t>n/a</t>
        </is>
      </c>
      <c r="O67" t="n">
        <v>0</v>
      </c>
      <c r="P67" t="n">
        <v>0</v>
      </c>
      <c r="R67" t="n">
        <v>0</v>
      </c>
      <c r="S67" t="n">
        <v>0</v>
      </c>
      <c r="U67" t="n">
        <v>0</v>
      </c>
      <c r="V67" t="n">
        <v>0</v>
      </c>
      <c r="X67">
        <f>IF(COUNTBLANK(E67,H67,K67,N67,Q67,T67,W67)&lt;7,"YES","")</f>
        <v/>
      </c>
    </row>
    <row r="68">
      <c r="A68" t="inlineStr">
        <is>
          <t>mgoexplant_saad</t>
        </is>
      </c>
      <c r="B68" t="inlineStr">
        <is>
          <t>Saad-6</t>
        </is>
      </c>
      <c r="C68" t="n">
        <v>7855</v>
      </c>
      <c r="D68" t="n">
        <v>5312</v>
      </c>
      <c r="E68" t="inlineStr">
        <is>
          <t>Both</t>
        </is>
      </c>
      <c r="F68" t="n">
        <v>0</v>
      </c>
      <c r="G68" t="n">
        <v>0</v>
      </c>
      <c r="I68" t="n">
        <v>0</v>
      </c>
      <c r="J68" t="inlineStr">
        <is>
          <t>n/a</t>
        </is>
      </c>
      <c r="L68" t="n">
        <v>0</v>
      </c>
      <c r="M68" t="inlineStr">
        <is>
          <t>n/a</t>
        </is>
      </c>
      <c r="O68" t="n">
        <v>0</v>
      </c>
      <c r="P68" t="n">
        <v>0</v>
      </c>
      <c r="R68" t="n">
        <v>0</v>
      </c>
      <c r="S68" t="n">
        <v>0</v>
      </c>
      <c r="U68" t="n">
        <v>0</v>
      </c>
      <c r="V68" t="n">
        <v>0</v>
      </c>
      <c r="X68">
        <f>IF(COUNTBLANK(E68,H68,K68,N68,Q68,T68,W68)&lt;7,"YES","")</f>
        <v/>
      </c>
    </row>
    <row r="69">
      <c r="A69" t="inlineStr">
        <is>
          <t>tg_2018_emma_nih (TG)</t>
        </is>
      </c>
      <c r="B69" t="inlineStr">
        <is>
          <t>SRR5850224</t>
        </is>
      </c>
      <c r="C69" t="n">
        <v>1175</v>
      </c>
      <c r="D69" t="n">
        <v>700</v>
      </c>
      <c r="E69" t="inlineStr">
        <is>
          <t>Both</t>
        </is>
      </c>
      <c r="F69" t="n">
        <v>0</v>
      </c>
      <c r="G69" t="n">
        <v>0</v>
      </c>
      <c r="I69" t="n">
        <v>0</v>
      </c>
      <c r="J69" t="inlineStr">
        <is>
          <t>n/a</t>
        </is>
      </c>
      <c r="L69" t="n">
        <v>0</v>
      </c>
      <c r="M69" t="inlineStr">
        <is>
          <t>n/a</t>
        </is>
      </c>
      <c r="O69" t="n">
        <v>0</v>
      </c>
      <c r="P69" t="n">
        <v>0</v>
      </c>
      <c r="R69" t="n">
        <v>0</v>
      </c>
      <c r="S69" t="n">
        <v>0</v>
      </c>
      <c r="U69" t="n">
        <v>0</v>
      </c>
      <c r="V69" t="n">
        <v>0</v>
      </c>
      <c r="X69">
        <f>IF(COUNTBLANK(E69,H69,K69,N69,Q69,T69,W69)&lt;7,"YES","")</f>
        <v/>
      </c>
    </row>
    <row r="70">
      <c r="A70" t="inlineStr">
        <is>
          <t>tg_2018_emma_nih (TG)</t>
        </is>
      </c>
      <c r="B70" t="inlineStr">
        <is>
          <t>SRR5850220</t>
        </is>
      </c>
      <c r="C70" t="n">
        <v>1016</v>
      </c>
      <c r="D70" t="n">
        <v>605</v>
      </c>
      <c r="E70" t="inlineStr">
        <is>
          <t>Both</t>
        </is>
      </c>
      <c r="F70" t="n">
        <v>33</v>
      </c>
      <c r="G70" t="n">
        <v>17</v>
      </c>
      <c r="H70" t="inlineStr">
        <is>
          <t>Both</t>
        </is>
      </c>
      <c r="I70" t="n">
        <v>0</v>
      </c>
      <c r="J70" t="inlineStr">
        <is>
          <t>n/a</t>
        </is>
      </c>
      <c r="L70" t="n">
        <v>0</v>
      </c>
      <c r="M70" t="inlineStr">
        <is>
          <t>n/a</t>
        </is>
      </c>
      <c r="O70" t="n">
        <v>0</v>
      </c>
      <c r="P70" t="n">
        <v>0</v>
      </c>
      <c r="R70" t="n">
        <v>0</v>
      </c>
      <c r="S70" t="n">
        <v>0</v>
      </c>
      <c r="U70" t="n">
        <v>0</v>
      </c>
      <c r="V70" t="n">
        <v>0</v>
      </c>
      <c r="X70">
        <f>IF(COUNTBLANK(E70,H70,K70,N70,Q70,T70,W70)&lt;7,"YES","")</f>
        <v/>
      </c>
    </row>
    <row r="71">
      <c r="A71" t="inlineStr">
        <is>
          <t>tg_2018_emma_nih (TG)</t>
        </is>
      </c>
      <c r="B71" t="inlineStr">
        <is>
          <t>SRR5850235</t>
        </is>
      </c>
      <c r="C71" t="n">
        <v>1200</v>
      </c>
      <c r="D71" t="n">
        <v>669</v>
      </c>
      <c r="E71" t="inlineStr">
        <is>
          <t>Both</t>
        </is>
      </c>
      <c r="F71" t="n">
        <v>0</v>
      </c>
      <c r="G71" t="n">
        <v>0</v>
      </c>
      <c r="I71" t="n">
        <v>0</v>
      </c>
      <c r="J71" t="inlineStr">
        <is>
          <t>n/a</t>
        </is>
      </c>
      <c r="L71" t="n">
        <v>0</v>
      </c>
      <c r="M71" t="inlineStr">
        <is>
          <t>n/a</t>
        </is>
      </c>
      <c r="O71" t="n">
        <v>0</v>
      </c>
      <c r="P71" t="n">
        <v>0</v>
      </c>
      <c r="R71" t="n">
        <v>0</v>
      </c>
      <c r="S71" t="n">
        <v>0</v>
      </c>
      <c r="U71" t="n">
        <v>0</v>
      </c>
      <c r="V71" t="n">
        <v>0</v>
      </c>
      <c r="X71">
        <f>IF(COUNTBLANK(E71,H71,K71,N71,Q71,T71,W71)&lt;7,"YES","")</f>
        <v/>
      </c>
    </row>
    <row r="72">
      <c r="A72" t="inlineStr">
        <is>
          <t>tg_2018_emma_nih (TG)</t>
        </is>
      </c>
      <c r="B72" t="inlineStr">
        <is>
          <t>SRR5850232</t>
        </is>
      </c>
      <c r="C72" t="n">
        <v>1064</v>
      </c>
      <c r="D72" t="n">
        <v>574</v>
      </c>
      <c r="E72" t="inlineStr">
        <is>
          <t>Both</t>
        </is>
      </c>
      <c r="F72" t="n">
        <v>0</v>
      </c>
      <c r="G72" t="n">
        <v>0</v>
      </c>
      <c r="I72" t="n">
        <v>0</v>
      </c>
      <c r="J72" t="inlineStr">
        <is>
          <t>n/a</t>
        </is>
      </c>
      <c r="L72" t="n">
        <v>0</v>
      </c>
      <c r="M72" t="inlineStr">
        <is>
          <t>n/a</t>
        </is>
      </c>
      <c r="O72" t="n">
        <v>0</v>
      </c>
      <c r="P72" t="n">
        <v>0</v>
      </c>
      <c r="R72" t="n">
        <v>0</v>
      </c>
      <c r="S72" t="n">
        <v>0</v>
      </c>
      <c r="U72" t="n">
        <v>0</v>
      </c>
      <c r="V72" t="n">
        <v>0</v>
      </c>
      <c r="X72">
        <f>IF(COUNTBLANK(E72,H72,K72,N72,Q72,T72,W72)&lt;7,"YES","")</f>
        <v/>
      </c>
    </row>
    <row r="73">
      <c r="A73" t="inlineStr">
        <is>
          <t>tg_2018_emma_nih (TG)</t>
        </is>
      </c>
      <c r="B73" t="inlineStr">
        <is>
          <t>SRR5850223</t>
        </is>
      </c>
      <c r="C73" t="n">
        <v>1008</v>
      </c>
      <c r="D73" t="n">
        <v>396</v>
      </c>
      <c r="E73" t="inlineStr">
        <is>
          <t>Both</t>
        </is>
      </c>
      <c r="F73" t="n">
        <v>0</v>
      </c>
      <c r="G73" t="n">
        <v>0</v>
      </c>
      <c r="I73" t="n">
        <v>0</v>
      </c>
      <c r="J73" t="inlineStr">
        <is>
          <t>n/a</t>
        </is>
      </c>
      <c r="L73" t="n">
        <v>0</v>
      </c>
      <c r="M73" t="inlineStr">
        <is>
          <t>n/a</t>
        </is>
      </c>
      <c r="O73" t="n">
        <v>0</v>
      </c>
      <c r="P73" t="n">
        <v>0</v>
      </c>
      <c r="R73" t="n">
        <v>0</v>
      </c>
      <c r="S73" t="n">
        <v>0</v>
      </c>
      <c r="U73" t="n">
        <v>0</v>
      </c>
      <c r="V73" t="n">
        <v>0</v>
      </c>
      <c r="X73">
        <f>IF(COUNTBLANK(E73,H73,K73,N73,Q73,T73,W73)&lt;7,"YES","")</f>
        <v/>
      </c>
    </row>
    <row r="74">
      <c r="A74" t="inlineStr">
        <is>
          <t>tg_2018_emma_nih (TG)</t>
        </is>
      </c>
      <c r="B74" t="inlineStr">
        <is>
          <t>SRR5850229</t>
        </is>
      </c>
      <c r="C74" t="n">
        <v>951</v>
      </c>
      <c r="D74" t="n">
        <v>475</v>
      </c>
      <c r="E74" t="inlineStr">
        <is>
          <t>Both</t>
        </is>
      </c>
      <c r="F74" t="n">
        <v>0</v>
      </c>
      <c r="G74" t="n">
        <v>0</v>
      </c>
      <c r="I74" t="n">
        <v>0</v>
      </c>
      <c r="J74" t="inlineStr">
        <is>
          <t>n/a</t>
        </is>
      </c>
      <c r="L74" t="n">
        <v>0</v>
      </c>
      <c r="M74" t="inlineStr">
        <is>
          <t>n/a</t>
        </is>
      </c>
      <c r="O74" t="n">
        <v>0</v>
      </c>
      <c r="P74" t="n">
        <v>0</v>
      </c>
      <c r="R74" t="n">
        <v>0</v>
      </c>
      <c r="S74" t="n">
        <v>0</v>
      </c>
      <c r="U74" t="n">
        <v>0</v>
      </c>
      <c r="V74" t="n">
        <v>0</v>
      </c>
      <c r="X74">
        <f>IF(COUNTBLANK(E74,H74,K74,N74,Q74,T74,W74)&lt;7,"YES","")</f>
        <v/>
      </c>
    </row>
    <row r="75">
      <c r="A75" t="inlineStr">
        <is>
          <t>tg_2018_emma_nih (TG)</t>
        </is>
      </c>
      <c r="B75" t="inlineStr">
        <is>
          <t>SRR5850230</t>
        </is>
      </c>
      <c r="C75" t="n">
        <v>673</v>
      </c>
      <c r="D75" t="n">
        <v>401</v>
      </c>
      <c r="E75" t="inlineStr">
        <is>
          <t>Both</t>
        </is>
      </c>
      <c r="F75" t="n">
        <v>0</v>
      </c>
      <c r="G75" t="n">
        <v>0</v>
      </c>
      <c r="I75" t="n">
        <v>0</v>
      </c>
      <c r="J75" t="inlineStr">
        <is>
          <t>n/a</t>
        </is>
      </c>
      <c r="L75" t="n">
        <v>0</v>
      </c>
      <c r="M75" t="inlineStr">
        <is>
          <t>n/a</t>
        </is>
      </c>
      <c r="O75" t="n">
        <v>0</v>
      </c>
      <c r="P75" t="n">
        <v>0</v>
      </c>
      <c r="R75" t="n">
        <v>0</v>
      </c>
      <c r="S75" t="n">
        <v>0</v>
      </c>
      <c r="U75" t="n">
        <v>0</v>
      </c>
      <c r="V75" t="n">
        <v>0</v>
      </c>
      <c r="X75">
        <f>IF(COUNTBLANK(E75,H75,K75,N75,Q75,T75,W75)&lt;7,"YES","")</f>
        <v/>
      </c>
    </row>
    <row r="76">
      <c r="A76" t="inlineStr">
        <is>
          <t>tg_2018_emma_nih (TG)</t>
        </is>
      </c>
      <c r="B76" t="inlineStr">
        <is>
          <t>SRR5850234</t>
        </is>
      </c>
      <c r="C76" t="n">
        <v>621</v>
      </c>
      <c r="D76" t="n">
        <v>311</v>
      </c>
      <c r="E76" t="inlineStr">
        <is>
          <t>Both</t>
        </is>
      </c>
      <c r="F76" t="n">
        <v>0</v>
      </c>
      <c r="G76" t="n">
        <v>0</v>
      </c>
      <c r="I76" t="n">
        <v>0</v>
      </c>
      <c r="J76" t="inlineStr">
        <is>
          <t>n/a</t>
        </is>
      </c>
      <c r="L76" t="n">
        <v>0</v>
      </c>
      <c r="M76" t="inlineStr">
        <is>
          <t>n/a</t>
        </is>
      </c>
      <c r="O76" t="n">
        <v>0</v>
      </c>
      <c r="P76" t="n">
        <v>0</v>
      </c>
      <c r="R76" t="n">
        <v>0</v>
      </c>
      <c r="S76" t="n">
        <v>0</v>
      </c>
      <c r="U76" t="n">
        <v>0</v>
      </c>
      <c r="V76" t="n">
        <v>0</v>
      </c>
      <c r="X76">
        <f>IF(COUNTBLANK(E76,H76,K76,N76,Q76,T76,W76)&lt;7,"YES","")</f>
        <v/>
      </c>
    </row>
    <row r="77">
      <c r="A77" t="inlineStr">
        <is>
          <t>tg_2018_emma_nih (TG)</t>
        </is>
      </c>
      <c r="B77" t="inlineStr">
        <is>
          <t>SRR5850225</t>
        </is>
      </c>
      <c r="C77" t="n">
        <v>1299</v>
      </c>
      <c r="D77" t="n">
        <v>812</v>
      </c>
      <c r="E77" t="inlineStr">
        <is>
          <t>Both</t>
        </is>
      </c>
      <c r="F77" t="n">
        <v>392</v>
      </c>
      <c r="G77" t="n">
        <v>219</v>
      </c>
      <c r="H77" t="inlineStr">
        <is>
          <t>Both</t>
        </is>
      </c>
      <c r="I77" t="n">
        <v>0</v>
      </c>
      <c r="J77" t="inlineStr">
        <is>
          <t>n/a</t>
        </is>
      </c>
      <c r="L77" t="n">
        <v>0</v>
      </c>
      <c r="M77" t="inlineStr">
        <is>
          <t>n/a</t>
        </is>
      </c>
      <c r="O77" t="n">
        <v>0</v>
      </c>
      <c r="P77" t="n">
        <v>0</v>
      </c>
      <c r="R77" t="n">
        <v>0</v>
      </c>
      <c r="S77" t="n">
        <v>0</v>
      </c>
      <c r="U77" t="n">
        <v>0</v>
      </c>
      <c r="V77" t="n">
        <v>0</v>
      </c>
      <c r="X77">
        <f>IF(COUNTBLANK(E77,H77,K77,N77,Q77,T77,W77)&lt;7,"YES","")</f>
        <v/>
      </c>
    </row>
    <row r="78">
      <c r="A78" t="inlineStr">
        <is>
          <t>tg_2018_emma_nih (TG)</t>
        </is>
      </c>
      <c r="B78" t="inlineStr">
        <is>
          <t>SRR5850221</t>
        </is>
      </c>
      <c r="C78" t="n">
        <v>1176</v>
      </c>
      <c r="D78" t="n">
        <v>694</v>
      </c>
      <c r="E78" t="inlineStr">
        <is>
          <t>Both</t>
        </is>
      </c>
      <c r="F78" t="n">
        <v>14</v>
      </c>
      <c r="G78" t="n">
        <v>13</v>
      </c>
      <c r="H78" t="inlineStr">
        <is>
          <t>Both</t>
        </is>
      </c>
      <c r="I78" t="n">
        <v>0</v>
      </c>
      <c r="J78" t="inlineStr">
        <is>
          <t>n/a</t>
        </is>
      </c>
      <c r="L78" t="n">
        <v>0</v>
      </c>
      <c r="M78" t="inlineStr">
        <is>
          <t>n/a</t>
        </is>
      </c>
      <c r="O78" t="n">
        <v>0</v>
      </c>
      <c r="P78" t="n">
        <v>0</v>
      </c>
      <c r="R78" t="n">
        <v>0</v>
      </c>
      <c r="S78" t="n">
        <v>0</v>
      </c>
      <c r="U78" t="n">
        <v>0</v>
      </c>
      <c r="V78" t="n">
        <v>0</v>
      </c>
      <c r="X78">
        <f>IF(COUNTBLANK(E78,H78,K78,N78,Q78,T78,W78)&lt;7,"YES","")</f>
        <v/>
      </c>
    </row>
    <row r="79">
      <c r="A79" t="inlineStr">
        <is>
          <t>tg_2018_emma_nih (TG)</t>
        </is>
      </c>
      <c r="B79" t="inlineStr">
        <is>
          <t>SRR5850231</t>
        </is>
      </c>
      <c r="C79" t="n">
        <v>1133</v>
      </c>
      <c r="D79" t="n">
        <v>628</v>
      </c>
      <c r="E79" t="inlineStr">
        <is>
          <t>Both</t>
        </is>
      </c>
      <c r="F79" t="n">
        <v>0</v>
      </c>
      <c r="G79" t="n">
        <v>1</v>
      </c>
      <c r="H79" t="inlineStr">
        <is>
          <t>PathSeq only</t>
        </is>
      </c>
      <c r="I79" t="n">
        <v>0</v>
      </c>
      <c r="J79" t="inlineStr">
        <is>
          <t>n/a</t>
        </is>
      </c>
      <c r="L79" t="n">
        <v>0</v>
      </c>
      <c r="M79" t="inlineStr">
        <is>
          <t>n/a</t>
        </is>
      </c>
      <c r="O79" t="n">
        <v>0</v>
      </c>
      <c r="P79" t="n">
        <v>0</v>
      </c>
      <c r="R79" t="n">
        <v>0</v>
      </c>
      <c r="S79" t="n">
        <v>0</v>
      </c>
      <c r="U79" t="n">
        <v>0</v>
      </c>
      <c r="V79" t="n">
        <v>0</v>
      </c>
      <c r="X79">
        <f>IF(COUNTBLANK(E79,H79,K79,N79,Q79,T79,W79)&lt;7,"YES","")</f>
        <v/>
      </c>
    </row>
    <row r="80">
      <c r="A80" t="inlineStr">
        <is>
          <t>tg_2018_emma_nih (TG)</t>
        </is>
      </c>
      <c r="B80" t="inlineStr">
        <is>
          <t>SRR5850226</t>
        </is>
      </c>
      <c r="C80" t="n">
        <v>905</v>
      </c>
      <c r="D80" t="n">
        <v>585</v>
      </c>
      <c r="E80" t="inlineStr">
        <is>
          <t>Both</t>
        </is>
      </c>
      <c r="F80" t="n">
        <v>11</v>
      </c>
      <c r="G80" t="n">
        <v>9</v>
      </c>
      <c r="H80" t="inlineStr">
        <is>
          <t>Both</t>
        </is>
      </c>
      <c r="I80" t="n">
        <v>0</v>
      </c>
      <c r="J80" t="inlineStr">
        <is>
          <t>n/a</t>
        </is>
      </c>
      <c r="L80" t="n">
        <v>0</v>
      </c>
      <c r="M80" t="inlineStr">
        <is>
          <t>n/a</t>
        </is>
      </c>
      <c r="O80" t="n">
        <v>0</v>
      </c>
      <c r="P80" t="n">
        <v>0</v>
      </c>
      <c r="R80" t="n">
        <v>0</v>
      </c>
      <c r="S80" t="n">
        <v>0</v>
      </c>
      <c r="U80" t="n">
        <v>0</v>
      </c>
      <c r="V80" t="n">
        <v>0</v>
      </c>
      <c r="X80">
        <f>IF(COUNTBLANK(E80,H80,K80,N80,Q80,T80,W80)&lt;7,"YES","")</f>
        <v/>
      </c>
    </row>
    <row r="81">
      <c r="A81" t="inlineStr">
        <is>
          <t>tg_2018_emma_nih (TG)</t>
        </is>
      </c>
      <c r="B81" t="inlineStr">
        <is>
          <t>SRR5850222</t>
        </is>
      </c>
      <c r="C81" t="n">
        <v>711</v>
      </c>
      <c r="D81" t="n">
        <v>388</v>
      </c>
      <c r="E81" t="inlineStr">
        <is>
          <t>Both</t>
        </is>
      </c>
      <c r="F81" t="n">
        <v>0</v>
      </c>
      <c r="G81" t="n">
        <v>0</v>
      </c>
      <c r="I81" t="n">
        <v>0</v>
      </c>
      <c r="J81" t="inlineStr">
        <is>
          <t>n/a</t>
        </is>
      </c>
      <c r="L81" t="n">
        <v>0</v>
      </c>
      <c r="M81" t="inlineStr">
        <is>
          <t>n/a</t>
        </is>
      </c>
      <c r="O81" t="n">
        <v>0</v>
      </c>
      <c r="P81" t="n">
        <v>0</v>
      </c>
      <c r="R81" t="n">
        <v>0</v>
      </c>
      <c r="S81" t="n">
        <v>0</v>
      </c>
      <c r="U81" t="n">
        <v>0</v>
      </c>
      <c r="V81" t="n">
        <v>0</v>
      </c>
      <c r="X81">
        <f>IF(COUNTBLANK(E81,H81,K81,N81,Q81,T81,W81)&lt;7,"YES","")</f>
        <v/>
      </c>
    </row>
    <row r="82">
      <c r="A82" t="inlineStr">
        <is>
          <t>tg_2018_emma_nih (TG)</t>
        </is>
      </c>
      <c r="B82" t="inlineStr">
        <is>
          <t>SRR5850228</t>
        </is>
      </c>
      <c r="C82" t="n">
        <v>1855</v>
      </c>
      <c r="D82" t="n">
        <v>1305</v>
      </c>
      <c r="E82" t="inlineStr">
        <is>
          <t>Both</t>
        </is>
      </c>
      <c r="F82" t="n">
        <v>467</v>
      </c>
      <c r="G82" t="n">
        <v>293</v>
      </c>
      <c r="H82" t="inlineStr">
        <is>
          <t>Both</t>
        </is>
      </c>
      <c r="I82" t="n">
        <v>0</v>
      </c>
      <c r="J82" t="inlineStr">
        <is>
          <t>n/a</t>
        </is>
      </c>
      <c r="L82" t="n">
        <v>0</v>
      </c>
      <c r="M82" t="inlineStr">
        <is>
          <t>n/a</t>
        </is>
      </c>
      <c r="O82" t="n">
        <v>0</v>
      </c>
      <c r="P82" t="n">
        <v>0</v>
      </c>
      <c r="R82" t="n">
        <v>0</v>
      </c>
      <c r="S82" t="n">
        <v>0</v>
      </c>
      <c r="U82" t="n">
        <v>0</v>
      </c>
      <c r="V82" t="n">
        <v>0</v>
      </c>
      <c r="X82">
        <f>IF(COUNTBLANK(E82,H82,K82,N82,Q82,T82,W82)&lt;7,"YES","")</f>
        <v/>
      </c>
    </row>
    <row r="83">
      <c r="A83" t="inlineStr">
        <is>
          <t>tg_2018_emma_nih (TG)</t>
        </is>
      </c>
      <c r="B83" t="inlineStr">
        <is>
          <t>SRR5850233</t>
        </is>
      </c>
      <c r="C83" t="n">
        <v>783</v>
      </c>
      <c r="D83" t="n">
        <v>444</v>
      </c>
      <c r="E83" t="inlineStr">
        <is>
          <t>Both</t>
        </is>
      </c>
      <c r="F83" t="n">
        <v>0</v>
      </c>
      <c r="G83" t="n">
        <v>0</v>
      </c>
      <c r="I83" t="n">
        <v>0</v>
      </c>
      <c r="J83" t="inlineStr">
        <is>
          <t>n/a</t>
        </is>
      </c>
      <c r="L83" t="n">
        <v>0</v>
      </c>
      <c r="M83" t="inlineStr">
        <is>
          <t>n/a</t>
        </is>
      </c>
      <c r="O83" t="n">
        <v>0</v>
      </c>
      <c r="P83" t="n">
        <v>0</v>
      </c>
      <c r="R83" t="n">
        <v>0</v>
      </c>
      <c r="S83" t="n">
        <v>0</v>
      </c>
      <c r="U83" t="n">
        <v>0</v>
      </c>
      <c r="V83" t="n">
        <v>0</v>
      </c>
      <c r="X83">
        <f>IF(COUNTBLANK(E83,H83,K83,N83,Q83,T83,W83)&lt;7,"YES","")</f>
        <v/>
      </c>
    </row>
    <row r="84">
      <c r="A84" t="inlineStr">
        <is>
          <t>tg_2018_emma_nih (TG)</t>
        </is>
      </c>
      <c r="B84" t="inlineStr">
        <is>
          <t>SRR5850227</t>
        </is>
      </c>
      <c r="C84" t="n">
        <v>1258</v>
      </c>
      <c r="D84" t="n">
        <v>737</v>
      </c>
      <c r="E84" t="inlineStr">
        <is>
          <t>Both</t>
        </is>
      </c>
      <c r="F84" t="n">
        <v>0</v>
      </c>
      <c r="G84" t="n">
        <v>0</v>
      </c>
      <c r="I84" t="n">
        <v>0</v>
      </c>
      <c r="J84" t="inlineStr">
        <is>
          <t>n/a</t>
        </is>
      </c>
      <c r="L84" t="n">
        <v>0</v>
      </c>
      <c r="M84" t="inlineStr">
        <is>
          <t>n/a</t>
        </is>
      </c>
      <c r="O84" t="n">
        <v>0</v>
      </c>
      <c r="P84" t="n">
        <v>1</v>
      </c>
      <c r="Q84" t="inlineStr">
        <is>
          <t>PathSeq only</t>
        </is>
      </c>
      <c r="R84" t="n">
        <v>0</v>
      </c>
      <c r="S84" t="n">
        <v>0</v>
      </c>
      <c r="U84" t="n">
        <v>0</v>
      </c>
      <c r="V84" t="n">
        <v>0</v>
      </c>
      <c r="X84">
        <f>IF(COUNTBLANK(E84,H84,K84,N84,Q84,T84,W84)&lt;7,"YES","")</f>
        <v/>
      </c>
    </row>
    <row r="85">
      <c r="A85" t="inlineStr">
        <is>
          <t>osmcultured_juliet</t>
        </is>
      </c>
      <c r="B85" t="inlineStr">
        <is>
          <t>366-11</t>
        </is>
      </c>
      <c r="C85" t="n">
        <v>1443</v>
      </c>
      <c r="D85" t="n">
        <v>647</v>
      </c>
      <c r="E85" t="inlineStr">
        <is>
          <t>Both</t>
        </is>
      </c>
      <c r="F85" t="n">
        <v>0</v>
      </c>
      <c r="G85" t="n">
        <v>0</v>
      </c>
      <c r="I85" t="n">
        <v>0</v>
      </c>
      <c r="J85" t="inlineStr">
        <is>
          <t>n/a</t>
        </is>
      </c>
      <c r="L85" t="n">
        <v>0</v>
      </c>
      <c r="M85" t="inlineStr">
        <is>
          <t>n/a</t>
        </is>
      </c>
      <c r="O85" t="n">
        <v>0</v>
      </c>
      <c r="P85" t="n">
        <v>0</v>
      </c>
      <c r="R85" t="n">
        <v>0</v>
      </c>
      <c r="S85" t="n">
        <v>0</v>
      </c>
      <c r="U85" t="n">
        <v>25</v>
      </c>
      <c r="V85" t="n">
        <v>0</v>
      </c>
      <c r="W85" t="inlineStr">
        <is>
          <t>Kraken2 only</t>
        </is>
      </c>
      <c r="X85">
        <f>IF(COUNTBLANK(E85,H85,K85,N85,Q85,T85,W85)&lt;7,"YES","")</f>
        <v/>
      </c>
    </row>
    <row r="86">
      <c r="A86" t="inlineStr">
        <is>
          <t>osmcultured_juliet</t>
        </is>
      </c>
      <c r="B86" t="inlineStr">
        <is>
          <t>366-15</t>
        </is>
      </c>
      <c r="C86" t="n">
        <v>781</v>
      </c>
      <c r="D86" t="n">
        <v>365</v>
      </c>
      <c r="E86" t="inlineStr">
        <is>
          <t>Both</t>
        </is>
      </c>
      <c r="F86" t="n">
        <v>0</v>
      </c>
      <c r="G86" t="n">
        <v>0</v>
      </c>
      <c r="I86" t="n">
        <v>0</v>
      </c>
      <c r="J86" t="inlineStr">
        <is>
          <t>n/a</t>
        </is>
      </c>
      <c r="L86" t="n">
        <v>0</v>
      </c>
      <c r="M86" t="inlineStr">
        <is>
          <t>n/a</t>
        </is>
      </c>
      <c r="O86" t="n">
        <v>0</v>
      </c>
      <c r="P86" t="n">
        <v>0</v>
      </c>
      <c r="R86" t="n">
        <v>0</v>
      </c>
      <c r="S86" t="n">
        <v>0</v>
      </c>
      <c r="U86" t="n">
        <v>10</v>
      </c>
      <c r="V86" t="n">
        <v>0</v>
      </c>
      <c r="W86" t="inlineStr">
        <is>
          <t>Kraken2 only</t>
        </is>
      </c>
      <c r="X86">
        <f>IF(COUNTBLANK(E86,H86,K86,N86,Q86,T86,W86)&lt;7,"YES","")</f>
        <v/>
      </c>
    </row>
    <row r="87">
      <c r="A87" t="inlineStr">
        <is>
          <t>osmcultured_juliet</t>
        </is>
      </c>
      <c r="B87" t="inlineStr">
        <is>
          <t>366-12</t>
        </is>
      </c>
      <c r="C87" t="n">
        <v>1067</v>
      </c>
      <c r="D87" t="n">
        <v>574</v>
      </c>
      <c r="E87" t="inlineStr">
        <is>
          <t>Both</t>
        </is>
      </c>
      <c r="F87" t="n">
        <v>0</v>
      </c>
      <c r="G87" t="n">
        <v>0</v>
      </c>
      <c r="I87" t="n">
        <v>0</v>
      </c>
      <c r="J87" t="inlineStr">
        <is>
          <t>n/a</t>
        </is>
      </c>
      <c r="L87" t="n">
        <v>0</v>
      </c>
      <c r="M87" t="inlineStr">
        <is>
          <t>n/a</t>
        </is>
      </c>
      <c r="O87" t="n">
        <v>0</v>
      </c>
      <c r="P87" t="n">
        <v>0</v>
      </c>
      <c r="R87" t="n">
        <v>0</v>
      </c>
      <c r="S87" t="n">
        <v>0</v>
      </c>
      <c r="U87" t="n">
        <v>27</v>
      </c>
      <c r="V87" t="n">
        <v>0</v>
      </c>
      <c r="W87" t="inlineStr">
        <is>
          <t>Kraken2 only</t>
        </is>
      </c>
      <c r="X87">
        <f>IF(COUNTBLANK(E87,H87,K87,N87,Q87,T87,W87)&lt;7,"YES","")</f>
        <v/>
      </c>
    </row>
    <row r="88">
      <c r="A88" t="inlineStr">
        <is>
          <t>osmcultured_juliet</t>
        </is>
      </c>
      <c r="B88" t="inlineStr">
        <is>
          <t>366-13</t>
        </is>
      </c>
      <c r="C88" t="n">
        <v>1011</v>
      </c>
      <c r="D88" t="n">
        <v>487</v>
      </c>
      <c r="E88" t="inlineStr">
        <is>
          <t>Both</t>
        </is>
      </c>
      <c r="F88" t="n">
        <v>0</v>
      </c>
      <c r="G88" t="n">
        <v>0</v>
      </c>
      <c r="I88" t="n">
        <v>0</v>
      </c>
      <c r="J88" t="inlineStr">
        <is>
          <t>n/a</t>
        </is>
      </c>
      <c r="L88" t="n">
        <v>0</v>
      </c>
      <c r="M88" t="inlineStr">
        <is>
          <t>n/a</t>
        </is>
      </c>
      <c r="O88" t="n">
        <v>0</v>
      </c>
      <c r="P88" t="n">
        <v>0</v>
      </c>
      <c r="R88" t="n">
        <v>0</v>
      </c>
      <c r="S88" t="n">
        <v>0</v>
      </c>
      <c r="U88" t="n">
        <v>18</v>
      </c>
      <c r="V88" t="n">
        <v>0</v>
      </c>
      <c r="W88" t="inlineStr">
        <is>
          <t>Kraken2 only</t>
        </is>
      </c>
      <c r="X88">
        <f>IF(COUNTBLANK(E88,H88,K88,N88,Q88,T88,W88)&lt;7,"YES","")</f>
        <v/>
      </c>
    </row>
    <row r="89">
      <c r="A89" t="inlineStr">
        <is>
          <t>osmcultured_juliet</t>
        </is>
      </c>
      <c r="B89" t="inlineStr">
        <is>
          <t>366-16</t>
        </is>
      </c>
      <c r="C89" t="n">
        <v>1416</v>
      </c>
      <c r="D89" t="n">
        <v>648</v>
      </c>
      <c r="E89" t="inlineStr">
        <is>
          <t>Both</t>
        </is>
      </c>
      <c r="F89" t="n">
        <v>0</v>
      </c>
      <c r="G89" t="n">
        <v>0</v>
      </c>
      <c r="I89" t="n">
        <v>0</v>
      </c>
      <c r="J89" t="inlineStr">
        <is>
          <t>n/a</t>
        </is>
      </c>
      <c r="L89" t="n">
        <v>0</v>
      </c>
      <c r="M89" t="inlineStr">
        <is>
          <t>n/a</t>
        </is>
      </c>
      <c r="O89" t="n">
        <v>0</v>
      </c>
      <c r="P89" t="n">
        <v>0</v>
      </c>
      <c r="R89" t="n">
        <v>0</v>
      </c>
      <c r="S89" t="n">
        <v>0</v>
      </c>
      <c r="U89" t="n">
        <v>22</v>
      </c>
      <c r="V89" t="n">
        <v>2</v>
      </c>
      <c r="W89" t="inlineStr">
        <is>
          <t>Both</t>
        </is>
      </c>
      <c r="X89">
        <f>IF(COUNTBLANK(E89,H89,K89,N89,Q89,T89,W89)&lt;7,"YES","")</f>
        <v/>
      </c>
    </row>
    <row r="90">
      <c r="A90" t="inlineStr">
        <is>
          <t>osmcultured_juliet</t>
        </is>
      </c>
      <c r="B90" t="inlineStr">
        <is>
          <t>366-14</t>
        </is>
      </c>
      <c r="C90" t="n">
        <v>1415</v>
      </c>
      <c r="D90" t="n">
        <v>684</v>
      </c>
      <c r="E90" t="inlineStr">
        <is>
          <t>Both</t>
        </is>
      </c>
      <c r="F90" t="n">
        <v>0</v>
      </c>
      <c r="G90" t="n">
        <v>0</v>
      </c>
      <c r="I90" t="n">
        <v>0</v>
      </c>
      <c r="J90" t="inlineStr">
        <is>
          <t>n/a</t>
        </is>
      </c>
      <c r="L90" t="n">
        <v>0</v>
      </c>
      <c r="M90" t="inlineStr">
        <is>
          <t>n/a</t>
        </is>
      </c>
      <c r="O90" t="n">
        <v>0</v>
      </c>
      <c r="P90" t="n">
        <v>0</v>
      </c>
      <c r="R90" t="n">
        <v>0</v>
      </c>
      <c r="S90" t="n">
        <v>0</v>
      </c>
      <c r="U90" t="n">
        <v>23</v>
      </c>
      <c r="V90" t="n">
        <v>0</v>
      </c>
      <c r="W90" t="inlineStr">
        <is>
          <t>Kraken2 only</t>
        </is>
      </c>
      <c r="X90">
        <f>IF(COUNTBLANK(E90,H90,K90,N90,Q90,T90,W90)&lt;7,"YES","")</f>
        <v/>
      </c>
    </row>
    <row r="91">
      <c r="A91" t="inlineStr">
        <is>
          <t>rejoin_jayden</t>
        </is>
      </c>
      <c r="B91" t="inlineStr">
        <is>
          <t>473-13</t>
        </is>
      </c>
      <c r="C91" t="n">
        <v>4747</v>
      </c>
      <c r="D91" t="n">
        <v>2841</v>
      </c>
      <c r="E91" t="inlineStr">
        <is>
          <t>Both</t>
        </is>
      </c>
      <c r="F91" t="n">
        <v>0</v>
      </c>
      <c r="G91" t="n">
        <v>0</v>
      </c>
      <c r="I91" t="n">
        <v>0</v>
      </c>
      <c r="J91" t="inlineStr">
        <is>
          <t>n/a</t>
        </is>
      </c>
      <c r="L91" t="n">
        <v>0</v>
      </c>
      <c r="M91" t="inlineStr">
        <is>
          <t>n/a</t>
        </is>
      </c>
      <c r="O91" t="n">
        <v>0</v>
      </c>
      <c r="P91" t="n">
        <v>1</v>
      </c>
      <c r="Q91" t="inlineStr">
        <is>
          <t>PathSeq only</t>
        </is>
      </c>
      <c r="R91" t="n">
        <v>0</v>
      </c>
      <c r="S91" t="n">
        <v>0</v>
      </c>
      <c r="U91" t="n">
        <v>0</v>
      </c>
      <c r="V91" t="n">
        <v>0</v>
      </c>
      <c r="X91">
        <f>IF(COUNTBLANK(E91,H91,K91,N91,Q91,T91,W91)&lt;7,"YES","")</f>
        <v/>
      </c>
    </row>
    <row r="92">
      <c r="A92" t="inlineStr">
        <is>
          <t>rejoin_jayden</t>
        </is>
      </c>
      <c r="B92" t="inlineStr">
        <is>
          <t>473-17</t>
        </is>
      </c>
      <c r="C92" t="n">
        <v>8034</v>
      </c>
      <c r="D92" t="n">
        <v>3764</v>
      </c>
      <c r="E92" t="inlineStr">
        <is>
          <t>Both</t>
        </is>
      </c>
      <c r="F92" t="n">
        <v>0</v>
      </c>
      <c r="G92" t="n">
        <v>0</v>
      </c>
      <c r="I92" t="n">
        <v>0</v>
      </c>
      <c r="J92" t="inlineStr">
        <is>
          <t>n/a</t>
        </is>
      </c>
      <c r="L92" t="n">
        <v>0</v>
      </c>
      <c r="M92" t="inlineStr">
        <is>
          <t>n/a</t>
        </is>
      </c>
      <c r="O92" t="n">
        <v>0</v>
      </c>
      <c r="P92" t="n">
        <v>6</v>
      </c>
      <c r="Q92" t="inlineStr">
        <is>
          <t>PathSeq only</t>
        </is>
      </c>
      <c r="R92" t="n">
        <v>0</v>
      </c>
      <c r="S92" t="n">
        <v>0</v>
      </c>
      <c r="U92" t="n">
        <v>0</v>
      </c>
      <c r="V92" t="n">
        <v>2</v>
      </c>
      <c r="W92" t="inlineStr">
        <is>
          <t>PathSeq only</t>
        </is>
      </c>
      <c r="X92">
        <f>IF(COUNTBLANK(E92,H92,K92,N92,Q92,T92,W92)&lt;7,"YES","")</f>
        <v/>
      </c>
    </row>
    <row r="93">
      <c r="A93" t="inlineStr">
        <is>
          <t>rejoin_jayden</t>
        </is>
      </c>
      <c r="B93" t="inlineStr">
        <is>
          <t>473-5</t>
        </is>
      </c>
      <c r="C93" t="n">
        <v>5957</v>
      </c>
      <c r="D93" t="n">
        <v>3499</v>
      </c>
      <c r="E93" t="inlineStr">
        <is>
          <t>Both</t>
        </is>
      </c>
      <c r="F93" t="n">
        <v>0</v>
      </c>
      <c r="G93" t="n">
        <v>0</v>
      </c>
      <c r="I93" t="n">
        <v>0</v>
      </c>
      <c r="J93" t="inlineStr">
        <is>
          <t>n/a</t>
        </is>
      </c>
      <c r="L93" t="n">
        <v>0</v>
      </c>
      <c r="M93" t="inlineStr">
        <is>
          <t>n/a</t>
        </is>
      </c>
      <c r="O93" t="n">
        <v>0</v>
      </c>
      <c r="P93" t="n">
        <v>7</v>
      </c>
      <c r="Q93" t="inlineStr">
        <is>
          <t>PathSeq only</t>
        </is>
      </c>
      <c r="R93" t="n">
        <v>0</v>
      </c>
      <c r="S93" t="n">
        <v>0</v>
      </c>
      <c r="U93" t="n">
        <v>0</v>
      </c>
      <c r="V93" t="n">
        <v>1</v>
      </c>
      <c r="W93" t="inlineStr">
        <is>
          <t>PathSeq only</t>
        </is>
      </c>
      <c r="X93">
        <f>IF(COUNTBLANK(E93,H93,K93,N93,Q93,T93,W93)&lt;7,"YES","")</f>
        <v/>
      </c>
    </row>
    <row r="94">
      <c r="A94" t="inlineStr">
        <is>
          <t>rejoin_jayden</t>
        </is>
      </c>
      <c r="B94" t="inlineStr">
        <is>
          <t>473-2</t>
        </is>
      </c>
      <c r="C94" t="n">
        <v>6006</v>
      </c>
      <c r="D94" t="n">
        <v>3733</v>
      </c>
      <c r="E94" t="inlineStr">
        <is>
          <t>Both</t>
        </is>
      </c>
      <c r="F94" t="n">
        <v>0</v>
      </c>
      <c r="G94" t="n">
        <v>0</v>
      </c>
      <c r="I94" t="n">
        <v>0</v>
      </c>
      <c r="J94" t="inlineStr">
        <is>
          <t>n/a</t>
        </is>
      </c>
      <c r="L94" t="n">
        <v>0</v>
      </c>
      <c r="M94" t="inlineStr">
        <is>
          <t>n/a</t>
        </is>
      </c>
      <c r="O94" t="n">
        <v>0</v>
      </c>
      <c r="P94" t="n">
        <v>3</v>
      </c>
      <c r="Q94" t="inlineStr">
        <is>
          <t>PathSeq only</t>
        </is>
      </c>
      <c r="R94" t="n">
        <v>0</v>
      </c>
      <c r="S94" t="n">
        <v>0</v>
      </c>
      <c r="U94" t="n">
        <v>0</v>
      </c>
      <c r="V94" t="n">
        <v>1</v>
      </c>
      <c r="W94" t="inlineStr">
        <is>
          <t>PathSeq only</t>
        </is>
      </c>
      <c r="X94">
        <f>IF(COUNTBLANK(E94,H94,K94,N94,Q94,T94,W94)&lt;7,"YES","")</f>
        <v/>
      </c>
    </row>
    <row r="95">
      <c r="A95" t="inlineStr">
        <is>
          <t>rejoin_jayden</t>
        </is>
      </c>
      <c r="B95" t="inlineStr">
        <is>
          <t>473-16</t>
        </is>
      </c>
      <c r="C95" t="n">
        <v>5798</v>
      </c>
      <c r="D95" t="n">
        <v>3536</v>
      </c>
      <c r="E95" t="inlineStr">
        <is>
          <t>Both</t>
        </is>
      </c>
      <c r="F95" t="n">
        <v>0</v>
      </c>
      <c r="G95" t="n">
        <v>0</v>
      </c>
      <c r="I95" t="n">
        <v>0</v>
      </c>
      <c r="J95" t="inlineStr">
        <is>
          <t>n/a</t>
        </is>
      </c>
      <c r="L95" t="n">
        <v>0</v>
      </c>
      <c r="M95" t="inlineStr">
        <is>
          <t>n/a</t>
        </is>
      </c>
      <c r="O95" t="n">
        <v>0</v>
      </c>
      <c r="P95" t="n">
        <v>5</v>
      </c>
      <c r="Q95" t="inlineStr">
        <is>
          <t>PathSeq only</t>
        </is>
      </c>
      <c r="R95" t="n">
        <v>0</v>
      </c>
      <c r="S95" t="n">
        <v>0</v>
      </c>
      <c r="U95" t="n">
        <v>0</v>
      </c>
      <c r="V95" t="n">
        <v>1</v>
      </c>
      <c r="W95" t="inlineStr">
        <is>
          <t>PathSeq only</t>
        </is>
      </c>
      <c r="X95">
        <f>IF(COUNTBLANK(E95,H95,K95,N95,Q95,T95,W95)&lt;7,"YES","")</f>
        <v/>
      </c>
    </row>
    <row r="96">
      <c r="A96" t="inlineStr">
        <is>
          <t>rejoin_jayden</t>
        </is>
      </c>
      <c r="B96" t="inlineStr">
        <is>
          <t>473-14</t>
        </is>
      </c>
      <c r="C96" t="n">
        <v>4239</v>
      </c>
      <c r="D96" t="n">
        <v>2610</v>
      </c>
      <c r="E96" t="inlineStr">
        <is>
          <t>Both</t>
        </is>
      </c>
      <c r="F96" t="n">
        <v>0</v>
      </c>
      <c r="G96" t="n">
        <v>0</v>
      </c>
      <c r="I96" t="n">
        <v>0</v>
      </c>
      <c r="J96" t="inlineStr">
        <is>
          <t>n/a</t>
        </is>
      </c>
      <c r="L96" t="n">
        <v>0</v>
      </c>
      <c r="M96" t="inlineStr">
        <is>
          <t>n/a</t>
        </is>
      </c>
      <c r="O96" t="n">
        <v>0</v>
      </c>
      <c r="P96" t="n">
        <v>6</v>
      </c>
      <c r="Q96" t="inlineStr">
        <is>
          <t>PathSeq only</t>
        </is>
      </c>
      <c r="R96" t="n">
        <v>0</v>
      </c>
      <c r="S96" t="n">
        <v>0</v>
      </c>
      <c r="U96" t="n">
        <v>0</v>
      </c>
      <c r="V96" t="n">
        <v>1</v>
      </c>
      <c r="W96" t="inlineStr">
        <is>
          <t>PathSeq only</t>
        </is>
      </c>
      <c r="X96">
        <f>IF(COUNTBLANK(E96,H96,K96,N96,Q96,T96,W96)&lt;7,"YES","")</f>
        <v/>
      </c>
    </row>
    <row r="97">
      <c r="A97" t="inlineStr">
        <is>
          <t>rejoin_jayden</t>
        </is>
      </c>
      <c r="B97" t="inlineStr">
        <is>
          <t>473-3</t>
        </is>
      </c>
      <c r="C97" t="n">
        <v>5558</v>
      </c>
      <c r="D97" t="n">
        <v>3265</v>
      </c>
      <c r="E97" t="inlineStr">
        <is>
          <t>Both</t>
        </is>
      </c>
      <c r="F97" t="n">
        <v>48</v>
      </c>
      <c r="G97" t="n">
        <v>74</v>
      </c>
      <c r="H97" t="inlineStr">
        <is>
          <t>Both</t>
        </is>
      </c>
      <c r="I97" t="n">
        <v>0</v>
      </c>
      <c r="J97" t="inlineStr">
        <is>
          <t>n/a</t>
        </is>
      </c>
      <c r="L97" t="n">
        <v>0</v>
      </c>
      <c r="M97" t="inlineStr">
        <is>
          <t>n/a</t>
        </is>
      </c>
      <c r="O97" t="n">
        <v>0</v>
      </c>
      <c r="P97" t="n">
        <v>3</v>
      </c>
      <c r="Q97" t="inlineStr">
        <is>
          <t>PathSeq only</t>
        </is>
      </c>
      <c r="R97" t="n">
        <v>0</v>
      </c>
      <c r="S97" t="n">
        <v>0</v>
      </c>
      <c r="U97" t="n">
        <v>0</v>
      </c>
      <c r="V97" t="n">
        <v>0</v>
      </c>
      <c r="X97">
        <f>IF(COUNTBLANK(E97,H97,K97,N97,Q97,T97,W97)&lt;7,"YES","")</f>
        <v/>
      </c>
    </row>
    <row r="98">
      <c r="A98" t="inlineStr">
        <is>
          <t>rejoin_jayden</t>
        </is>
      </c>
      <c r="B98" t="inlineStr">
        <is>
          <t>473-7</t>
        </is>
      </c>
      <c r="C98" t="n">
        <v>5991</v>
      </c>
      <c r="D98" t="n">
        <v>3415</v>
      </c>
      <c r="E98" t="inlineStr">
        <is>
          <t>Both</t>
        </is>
      </c>
      <c r="F98" t="n">
        <v>0</v>
      </c>
      <c r="G98" t="n">
        <v>0</v>
      </c>
      <c r="I98" t="n">
        <v>0</v>
      </c>
      <c r="J98" t="inlineStr">
        <is>
          <t>n/a</t>
        </is>
      </c>
      <c r="L98" t="n">
        <v>0</v>
      </c>
      <c r="M98" t="inlineStr">
        <is>
          <t>n/a</t>
        </is>
      </c>
      <c r="O98" t="n">
        <v>0</v>
      </c>
      <c r="P98" t="n">
        <v>4</v>
      </c>
      <c r="Q98" t="inlineStr">
        <is>
          <t>PathSeq only</t>
        </is>
      </c>
      <c r="R98" t="n">
        <v>0</v>
      </c>
      <c r="S98" t="n">
        <v>0</v>
      </c>
      <c r="U98" t="n">
        <v>0</v>
      </c>
      <c r="V98" t="n">
        <v>0</v>
      </c>
      <c r="X98">
        <f>IF(COUNTBLANK(E98,H98,K98,N98,Q98,T98,W98)&lt;7,"YES","")</f>
        <v/>
      </c>
    </row>
    <row r="99">
      <c r="A99" t="inlineStr">
        <is>
          <t>rejoin_jayden</t>
        </is>
      </c>
      <c r="B99" t="inlineStr">
        <is>
          <t>473-6</t>
        </is>
      </c>
      <c r="C99" t="n">
        <v>6875</v>
      </c>
      <c r="D99" t="n">
        <v>3997</v>
      </c>
      <c r="E99" t="inlineStr">
        <is>
          <t>Both</t>
        </is>
      </c>
      <c r="F99" t="n">
        <v>0</v>
      </c>
      <c r="G99" t="n">
        <v>0</v>
      </c>
      <c r="I99" t="n">
        <v>0</v>
      </c>
      <c r="J99" t="inlineStr">
        <is>
          <t>n/a</t>
        </is>
      </c>
      <c r="L99" t="n">
        <v>0</v>
      </c>
      <c r="M99" t="inlineStr">
        <is>
          <t>n/a</t>
        </is>
      </c>
      <c r="O99" t="n">
        <v>0</v>
      </c>
      <c r="P99" t="n">
        <v>6</v>
      </c>
      <c r="Q99" t="inlineStr">
        <is>
          <t>PathSeq only</t>
        </is>
      </c>
      <c r="R99" t="n">
        <v>0</v>
      </c>
      <c r="S99" t="n">
        <v>0</v>
      </c>
      <c r="U99" t="n">
        <v>0</v>
      </c>
      <c r="V99" t="n">
        <v>0</v>
      </c>
      <c r="X99">
        <f>IF(COUNTBLANK(E99,H99,K99,N99,Q99,T99,W99)&lt;7,"YES","")</f>
        <v/>
      </c>
    </row>
    <row r="100">
      <c r="A100" t="inlineStr">
        <is>
          <t>rejoin_jayden</t>
        </is>
      </c>
      <c r="B100" t="inlineStr">
        <is>
          <t>473-10</t>
        </is>
      </c>
      <c r="C100" t="n">
        <v>4797</v>
      </c>
      <c r="D100" t="n">
        <v>2954</v>
      </c>
      <c r="E100" t="inlineStr">
        <is>
          <t>Both</t>
        </is>
      </c>
      <c r="F100" t="n">
        <v>0</v>
      </c>
      <c r="G100" t="n">
        <v>0</v>
      </c>
      <c r="I100" t="n">
        <v>0</v>
      </c>
      <c r="J100" t="inlineStr">
        <is>
          <t>n/a</t>
        </is>
      </c>
      <c r="L100" t="n">
        <v>0</v>
      </c>
      <c r="M100" t="inlineStr">
        <is>
          <t>n/a</t>
        </is>
      </c>
      <c r="O100" t="n">
        <v>14</v>
      </c>
      <c r="P100" t="n">
        <v>10</v>
      </c>
      <c r="Q100" t="inlineStr">
        <is>
          <t>Both</t>
        </is>
      </c>
      <c r="R100" t="n">
        <v>0</v>
      </c>
      <c r="S100" t="n">
        <v>0</v>
      </c>
      <c r="U100" t="n">
        <v>0</v>
      </c>
      <c r="V100" t="n">
        <v>1</v>
      </c>
      <c r="W100" t="inlineStr">
        <is>
          <t>PathSeq only</t>
        </is>
      </c>
      <c r="X100">
        <f>IF(COUNTBLANK(E100,H100,K100,N100,Q100,T100,W100)&lt;7,"YES","")</f>
        <v/>
      </c>
    </row>
    <row r="101">
      <c r="A101" t="inlineStr">
        <is>
          <t>rejoin_jayden</t>
        </is>
      </c>
      <c r="B101" t="inlineStr">
        <is>
          <t>473-8</t>
        </is>
      </c>
      <c r="C101" t="n">
        <v>10700</v>
      </c>
      <c r="D101" t="n">
        <v>5558</v>
      </c>
      <c r="E101" t="inlineStr">
        <is>
          <t>Both</t>
        </is>
      </c>
      <c r="F101" t="n">
        <v>0</v>
      </c>
      <c r="G101" t="n">
        <v>0</v>
      </c>
      <c r="I101" t="n">
        <v>0</v>
      </c>
      <c r="J101" t="inlineStr">
        <is>
          <t>n/a</t>
        </is>
      </c>
      <c r="L101" t="n">
        <v>0</v>
      </c>
      <c r="M101" t="inlineStr">
        <is>
          <t>n/a</t>
        </is>
      </c>
      <c r="O101" t="n">
        <v>0</v>
      </c>
      <c r="P101" t="n">
        <v>4</v>
      </c>
      <c r="Q101" t="inlineStr">
        <is>
          <t>PathSeq only</t>
        </is>
      </c>
      <c r="R101" t="n">
        <v>0</v>
      </c>
      <c r="S101" t="n">
        <v>0</v>
      </c>
      <c r="U101" t="n">
        <v>0</v>
      </c>
      <c r="V101" t="n">
        <v>2</v>
      </c>
      <c r="W101" t="inlineStr">
        <is>
          <t>PathSeq only</t>
        </is>
      </c>
      <c r="X101">
        <f>IF(COUNTBLANK(E101,H101,K101,N101,Q101,T101,W101)&lt;7,"YES","")</f>
        <v/>
      </c>
    </row>
    <row r="102">
      <c r="A102" t="inlineStr">
        <is>
          <t>rejoin_jayden</t>
        </is>
      </c>
      <c r="B102" t="inlineStr">
        <is>
          <t>473-9</t>
        </is>
      </c>
      <c r="C102" t="n">
        <v>5438</v>
      </c>
      <c r="D102" t="n">
        <v>3222</v>
      </c>
      <c r="E102" t="inlineStr">
        <is>
          <t>Both</t>
        </is>
      </c>
      <c r="F102" t="n">
        <v>0</v>
      </c>
      <c r="G102" t="n">
        <v>0</v>
      </c>
      <c r="I102" t="n">
        <v>0</v>
      </c>
      <c r="J102" t="inlineStr">
        <is>
          <t>n/a</t>
        </is>
      </c>
      <c r="L102" t="n">
        <v>0</v>
      </c>
      <c r="M102" t="inlineStr">
        <is>
          <t>n/a</t>
        </is>
      </c>
      <c r="O102" t="n">
        <v>0</v>
      </c>
      <c r="P102" t="n">
        <v>7</v>
      </c>
      <c r="Q102" t="inlineStr">
        <is>
          <t>PathSeq only</t>
        </is>
      </c>
      <c r="R102" t="n">
        <v>0</v>
      </c>
      <c r="S102" t="n">
        <v>0</v>
      </c>
      <c r="U102" t="n">
        <v>0</v>
      </c>
      <c r="V102" t="n">
        <v>0</v>
      </c>
      <c r="X102">
        <f>IF(COUNTBLANK(E102,H102,K102,N102,Q102,T102,W102)&lt;7,"YES","")</f>
        <v/>
      </c>
    </row>
    <row r="103">
      <c r="A103" t="inlineStr">
        <is>
          <t>rejoin_jayden</t>
        </is>
      </c>
      <c r="B103" t="inlineStr">
        <is>
          <t>473-11</t>
        </is>
      </c>
      <c r="C103" t="n">
        <v>5115</v>
      </c>
      <c r="D103" t="n">
        <v>3080</v>
      </c>
      <c r="E103" t="inlineStr">
        <is>
          <t>Both</t>
        </is>
      </c>
      <c r="F103" t="n">
        <v>0</v>
      </c>
      <c r="G103" t="n">
        <v>0</v>
      </c>
      <c r="I103" t="n">
        <v>0</v>
      </c>
      <c r="J103" t="inlineStr">
        <is>
          <t>n/a</t>
        </is>
      </c>
      <c r="L103" t="n">
        <v>0</v>
      </c>
      <c r="M103" t="inlineStr">
        <is>
          <t>n/a</t>
        </is>
      </c>
      <c r="O103" t="n">
        <v>0</v>
      </c>
      <c r="P103" t="n">
        <v>3</v>
      </c>
      <c r="Q103" t="inlineStr">
        <is>
          <t>PathSeq only</t>
        </is>
      </c>
      <c r="R103" t="n">
        <v>0</v>
      </c>
      <c r="S103" t="n">
        <v>0</v>
      </c>
      <c r="U103" t="n">
        <v>0</v>
      </c>
      <c r="V103" t="n">
        <v>1</v>
      </c>
      <c r="W103" t="inlineStr">
        <is>
          <t>PathSeq only</t>
        </is>
      </c>
      <c r="X103">
        <f>IF(COUNTBLANK(E103,H103,K103,N103,Q103,T103,W103)&lt;7,"YES","")</f>
        <v/>
      </c>
    </row>
    <row r="104">
      <c r="A104" t="inlineStr">
        <is>
          <t>rejoin_jayden</t>
        </is>
      </c>
      <c r="B104" t="inlineStr">
        <is>
          <t>473-1</t>
        </is>
      </c>
      <c r="C104" t="n">
        <v>4977</v>
      </c>
      <c r="D104" t="n">
        <v>3005</v>
      </c>
      <c r="E104" t="inlineStr">
        <is>
          <t>Both</t>
        </is>
      </c>
      <c r="F104" t="n">
        <v>0</v>
      </c>
      <c r="G104" t="n">
        <v>0</v>
      </c>
      <c r="I104" t="n">
        <v>0</v>
      </c>
      <c r="J104" t="inlineStr">
        <is>
          <t>n/a</t>
        </is>
      </c>
      <c r="L104" t="n">
        <v>48</v>
      </c>
      <c r="M104" t="inlineStr">
        <is>
          <t>n/a</t>
        </is>
      </c>
      <c r="N104" t="inlineStr">
        <is>
          <t>Kraken2 (no PathSeq ref)</t>
        </is>
      </c>
      <c r="O104" t="n">
        <v>0</v>
      </c>
      <c r="P104" t="n">
        <v>6</v>
      </c>
      <c r="Q104" t="inlineStr">
        <is>
          <t>PathSeq only</t>
        </is>
      </c>
      <c r="R104" t="n">
        <v>0</v>
      </c>
      <c r="S104" t="n">
        <v>0</v>
      </c>
      <c r="U104" t="n">
        <v>0</v>
      </c>
      <c r="V104" t="n">
        <v>0</v>
      </c>
      <c r="X104">
        <f>IF(COUNTBLANK(E104,H104,K104,N104,Q104,T104,W104)&lt;7,"YES","")</f>
        <v/>
      </c>
    </row>
    <row r="105">
      <c r="A105" t="inlineStr">
        <is>
          <t>rejoin_jayden</t>
        </is>
      </c>
      <c r="B105" t="inlineStr">
        <is>
          <t>473-15</t>
        </is>
      </c>
      <c r="C105" t="n">
        <v>7031</v>
      </c>
      <c r="D105" t="n">
        <v>4029</v>
      </c>
      <c r="E105" t="inlineStr">
        <is>
          <t>Both</t>
        </is>
      </c>
      <c r="F105" t="n">
        <v>0</v>
      </c>
      <c r="G105" t="n">
        <v>0</v>
      </c>
      <c r="I105" t="n">
        <v>0</v>
      </c>
      <c r="J105" t="inlineStr">
        <is>
          <t>n/a</t>
        </is>
      </c>
      <c r="L105" t="n">
        <v>0</v>
      </c>
      <c r="M105" t="inlineStr">
        <is>
          <t>n/a</t>
        </is>
      </c>
      <c r="O105" t="n">
        <v>0</v>
      </c>
      <c r="P105" t="n">
        <v>3</v>
      </c>
      <c r="Q105" t="inlineStr">
        <is>
          <t>PathSeq only</t>
        </is>
      </c>
      <c r="R105" t="n">
        <v>0</v>
      </c>
      <c r="S105" t="n">
        <v>0</v>
      </c>
      <c r="U105" t="n">
        <v>0</v>
      </c>
      <c r="V105" t="n">
        <v>0</v>
      </c>
      <c r="X105">
        <f>IF(COUNTBLANK(E105,H105,K105,N105,Q105,T105,W105)&lt;7,"YES","")</f>
        <v/>
      </c>
    </row>
    <row r="106">
      <c r="A106" t="inlineStr">
        <is>
          <t>rejoin_jayden</t>
        </is>
      </c>
      <c r="B106" t="inlineStr">
        <is>
          <t>473-12</t>
        </is>
      </c>
      <c r="C106" t="n">
        <v>6773</v>
      </c>
      <c r="D106" t="n">
        <v>3582</v>
      </c>
      <c r="E106" t="inlineStr">
        <is>
          <t>Both</t>
        </is>
      </c>
      <c r="F106" t="n">
        <v>0</v>
      </c>
      <c r="G106" t="n">
        <v>0</v>
      </c>
      <c r="I106" t="n">
        <v>0</v>
      </c>
      <c r="J106" t="inlineStr">
        <is>
          <t>n/a</t>
        </is>
      </c>
      <c r="L106" t="n">
        <v>0</v>
      </c>
      <c r="M106" t="inlineStr">
        <is>
          <t>n/a</t>
        </is>
      </c>
      <c r="O106" t="n">
        <v>0</v>
      </c>
      <c r="P106" t="n">
        <v>2</v>
      </c>
      <c r="Q106" t="inlineStr">
        <is>
          <t>PathSeq only</t>
        </is>
      </c>
      <c r="R106" t="n">
        <v>0</v>
      </c>
      <c r="S106" t="n">
        <v>0</v>
      </c>
      <c r="U106" t="n">
        <v>0</v>
      </c>
      <c r="V106" t="n">
        <v>1</v>
      </c>
      <c r="W106" t="inlineStr">
        <is>
          <t>PathSeq only</t>
        </is>
      </c>
      <c r="X106">
        <f>IF(COUNTBLANK(E106,H106,K106,N106,Q106,T106,W106)&lt;7,"YES","")</f>
        <v/>
      </c>
    </row>
    <row r="107">
      <c r="A107" t="inlineStr">
        <is>
          <t>rejoin_jayden</t>
        </is>
      </c>
      <c r="B107" t="inlineStr">
        <is>
          <t>473-4</t>
        </is>
      </c>
      <c r="C107" t="n">
        <v>5377</v>
      </c>
      <c r="D107" t="n">
        <v>3235</v>
      </c>
      <c r="E107" t="inlineStr">
        <is>
          <t>Both</t>
        </is>
      </c>
      <c r="F107" t="n">
        <v>0</v>
      </c>
      <c r="G107" t="n">
        <v>0</v>
      </c>
      <c r="I107" t="n">
        <v>0</v>
      </c>
      <c r="J107" t="inlineStr">
        <is>
          <t>n/a</t>
        </is>
      </c>
      <c r="L107" t="n">
        <v>0</v>
      </c>
      <c r="M107" t="inlineStr">
        <is>
          <t>n/a</t>
        </is>
      </c>
      <c r="O107" t="n">
        <v>0</v>
      </c>
      <c r="P107" t="n">
        <v>5</v>
      </c>
      <c r="Q107" t="inlineStr">
        <is>
          <t>PathSeq only</t>
        </is>
      </c>
      <c r="R107" t="n">
        <v>0</v>
      </c>
      <c r="S107" t="n">
        <v>0</v>
      </c>
      <c r="U107" t="n">
        <v>0</v>
      </c>
      <c r="V107" t="n">
        <v>3</v>
      </c>
      <c r="W107" t="inlineStr">
        <is>
          <t>PathSeq only</t>
        </is>
      </c>
      <c r="X107">
        <f>IF(COUNTBLANK(E107,H107,K107,N107,Q107,T107,W107)&lt;7,"YES","")</f>
        <v/>
      </c>
    </row>
    <row r="108">
      <c r="A108" t="inlineStr">
        <is>
          <t>dpn_ra_kulkarni</t>
        </is>
      </c>
      <c r="B108" t="inlineStr">
        <is>
          <t>2AC1</t>
        </is>
      </c>
      <c r="C108" t="n">
        <v>3611</v>
      </c>
      <c r="D108" t="n">
        <v>2311</v>
      </c>
      <c r="E108" t="inlineStr">
        <is>
          <t>Both</t>
        </is>
      </c>
      <c r="F108" t="n">
        <v>0</v>
      </c>
      <c r="G108" t="n">
        <v>0</v>
      </c>
      <c r="I108" t="n">
        <v>0</v>
      </c>
      <c r="J108" t="inlineStr">
        <is>
          <t>n/a</t>
        </is>
      </c>
      <c r="L108" t="n">
        <v>0</v>
      </c>
      <c r="M108" t="inlineStr">
        <is>
          <t>n/a</t>
        </is>
      </c>
      <c r="O108" t="n">
        <v>0</v>
      </c>
      <c r="P108" t="n">
        <v>0</v>
      </c>
      <c r="R108" t="n">
        <v>0</v>
      </c>
      <c r="S108" t="n">
        <v>0</v>
      </c>
      <c r="U108" t="n">
        <v>0</v>
      </c>
      <c r="V108" t="n">
        <v>0</v>
      </c>
      <c r="X108">
        <f>IF(COUNTBLANK(E108,H108,K108,N108,Q108,T108,W108)&lt;7,"YES","")</f>
        <v/>
      </c>
    </row>
    <row r="109">
      <c r="A109" t="inlineStr">
        <is>
          <t>dpn_ra_kulkarni</t>
        </is>
      </c>
      <c r="B109" t="inlineStr">
        <is>
          <t>L1V1</t>
        </is>
      </c>
      <c r="C109" t="n">
        <v>3429</v>
      </c>
      <c r="D109" t="n">
        <v>2034</v>
      </c>
      <c r="E109" t="inlineStr">
        <is>
          <t>Both</t>
        </is>
      </c>
      <c r="F109" t="n">
        <v>0</v>
      </c>
      <c r="G109" t="n">
        <v>0</v>
      </c>
      <c r="I109" t="n">
        <v>0</v>
      </c>
      <c r="J109" t="inlineStr">
        <is>
          <t>n/a</t>
        </is>
      </c>
      <c r="L109" t="n">
        <v>0</v>
      </c>
      <c r="M109" t="inlineStr">
        <is>
          <t>n/a</t>
        </is>
      </c>
      <c r="O109" t="n">
        <v>0</v>
      </c>
      <c r="P109" t="n">
        <v>0</v>
      </c>
      <c r="R109" t="n">
        <v>0</v>
      </c>
      <c r="S109" t="n">
        <v>0</v>
      </c>
      <c r="U109" t="n">
        <v>0</v>
      </c>
      <c r="V109" t="n">
        <v>0</v>
      </c>
      <c r="X109">
        <f>IF(COUNTBLANK(E109,H109,K109,N109,Q109,T109,W109)&lt;7,"YES","")</f>
        <v/>
      </c>
    </row>
    <row r="110">
      <c r="A110" t="inlineStr">
        <is>
          <t>dpn_ra_kulkarni</t>
        </is>
      </c>
      <c r="B110" t="inlineStr">
        <is>
          <t>N4N2</t>
        </is>
      </c>
      <c r="C110" t="n">
        <v>3107</v>
      </c>
      <c r="D110" t="n">
        <v>1753</v>
      </c>
      <c r="E110" t="inlineStr">
        <is>
          <t>Both</t>
        </is>
      </c>
      <c r="F110" t="n">
        <v>0</v>
      </c>
      <c r="G110" t="n">
        <v>0</v>
      </c>
      <c r="I110" t="n">
        <v>0</v>
      </c>
      <c r="J110" t="inlineStr">
        <is>
          <t>n/a</t>
        </is>
      </c>
      <c r="L110" t="n">
        <v>0</v>
      </c>
      <c r="M110" t="inlineStr">
        <is>
          <t>n/a</t>
        </is>
      </c>
      <c r="O110" t="n">
        <v>0</v>
      </c>
      <c r="P110" t="n">
        <v>0</v>
      </c>
      <c r="R110" t="n">
        <v>0</v>
      </c>
      <c r="S110" t="n">
        <v>0</v>
      </c>
      <c r="U110" t="n">
        <v>0</v>
      </c>
      <c r="V110" t="n">
        <v>0</v>
      </c>
      <c r="X110">
        <f>IF(COUNTBLANK(E110,H110,K110,N110,Q110,T110,W110)&lt;7,"YES","")</f>
        <v/>
      </c>
    </row>
    <row r="111">
      <c r="A111" t="inlineStr">
        <is>
          <t>dpn_ra_kulkarni</t>
        </is>
      </c>
      <c r="B111" t="inlineStr">
        <is>
          <t>CA7A2</t>
        </is>
      </c>
      <c r="C111" t="n">
        <v>6237</v>
      </c>
      <c r="D111" t="n">
        <v>4082</v>
      </c>
      <c r="E111" t="inlineStr">
        <is>
          <t>Both</t>
        </is>
      </c>
      <c r="F111" t="n">
        <v>0</v>
      </c>
      <c r="G111" t="n">
        <v>0</v>
      </c>
      <c r="I111" t="n">
        <v>0</v>
      </c>
      <c r="J111" t="inlineStr">
        <is>
          <t>n/a</t>
        </is>
      </c>
      <c r="L111" t="n">
        <v>0</v>
      </c>
      <c r="M111" t="inlineStr">
        <is>
          <t>n/a</t>
        </is>
      </c>
      <c r="O111" t="n">
        <v>0</v>
      </c>
      <c r="P111" t="n">
        <v>0</v>
      </c>
      <c r="R111" t="n">
        <v>0</v>
      </c>
      <c r="S111" t="n">
        <v>0</v>
      </c>
      <c r="U111" t="n">
        <v>0</v>
      </c>
      <c r="V111" t="n">
        <v>0</v>
      </c>
      <c r="X111">
        <f>IF(COUNTBLANK(E111,H111,K111,N111,Q111,T111,W111)&lt;7,"YES","")</f>
        <v/>
      </c>
    </row>
    <row r="112">
      <c r="A112" t="inlineStr">
        <is>
          <t>dpn_ra_kulkarni</t>
        </is>
      </c>
      <c r="B112" t="inlineStr">
        <is>
          <t>G1NB2</t>
        </is>
      </c>
      <c r="C112" t="n">
        <v>4841</v>
      </c>
      <c r="D112" t="n">
        <v>2800</v>
      </c>
      <c r="E112" t="inlineStr">
        <is>
          <t>Both</t>
        </is>
      </c>
      <c r="F112" t="n">
        <v>0</v>
      </c>
      <c r="G112" t="n">
        <v>0</v>
      </c>
      <c r="I112" t="n">
        <v>0</v>
      </c>
      <c r="J112" t="inlineStr">
        <is>
          <t>n/a</t>
        </is>
      </c>
      <c r="L112" t="n">
        <v>0</v>
      </c>
      <c r="M112" t="inlineStr">
        <is>
          <t>n/a</t>
        </is>
      </c>
      <c r="O112" t="n">
        <v>0</v>
      </c>
      <c r="P112" t="n">
        <v>0</v>
      </c>
      <c r="R112" t="n">
        <v>0</v>
      </c>
      <c r="S112" t="n">
        <v>0</v>
      </c>
      <c r="U112" t="n">
        <v>0</v>
      </c>
      <c r="V112" t="n">
        <v>0</v>
      </c>
      <c r="X112">
        <f>IF(COUNTBLANK(E112,H112,K112,N112,Q112,T112,W112)&lt;7,"YES","")</f>
        <v/>
      </c>
    </row>
    <row r="113">
      <c r="A113" t="inlineStr">
        <is>
          <t>dpn_ra_kulkarni</t>
        </is>
      </c>
      <c r="B113" t="inlineStr">
        <is>
          <t>4LIB2</t>
        </is>
      </c>
      <c r="C113" t="n">
        <v>4576</v>
      </c>
      <c r="D113" t="n">
        <v>2725</v>
      </c>
      <c r="E113" t="inlineStr">
        <is>
          <t>Both</t>
        </is>
      </c>
      <c r="F113" t="n">
        <v>0</v>
      </c>
      <c r="G113" t="n">
        <v>0</v>
      </c>
      <c r="I113" t="n">
        <v>0</v>
      </c>
      <c r="J113" t="inlineStr">
        <is>
          <t>n/a</t>
        </is>
      </c>
      <c r="L113" t="n">
        <v>0</v>
      </c>
      <c r="M113" t="inlineStr">
        <is>
          <t>n/a</t>
        </is>
      </c>
      <c r="O113" t="n">
        <v>0</v>
      </c>
      <c r="P113" t="n">
        <v>0</v>
      </c>
      <c r="R113" t="n">
        <v>0</v>
      </c>
      <c r="S113" t="n">
        <v>0</v>
      </c>
      <c r="U113" t="n">
        <v>0</v>
      </c>
      <c r="V113" t="n">
        <v>0</v>
      </c>
      <c r="X113">
        <f>IF(COUNTBLANK(E113,H113,K113,N113,Q113,T113,W113)&lt;7,"YES","")</f>
        <v/>
      </c>
    </row>
    <row r="114">
      <c r="A114" t="inlineStr">
        <is>
          <t>dpn_ra_kulkarni</t>
        </is>
      </c>
      <c r="B114" t="inlineStr">
        <is>
          <t>CA7B1</t>
        </is>
      </c>
      <c r="C114" t="n">
        <v>6109</v>
      </c>
      <c r="D114" t="n">
        <v>3913</v>
      </c>
      <c r="E114" t="inlineStr">
        <is>
          <t>Both</t>
        </is>
      </c>
      <c r="F114" t="n">
        <v>0</v>
      </c>
      <c r="G114" t="n">
        <v>0</v>
      </c>
      <c r="I114" t="n">
        <v>0</v>
      </c>
      <c r="J114" t="inlineStr">
        <is>
          <t>n/a</t>
        </is>
      </c>
      <c r="L114" t="n">
        <v>0</v>
      </c>
      <c r="M114" t="inlineStr">
        <is>
          <t>n/a</t>
        </is>
      </c>
      <c r="O114" t="n">
        <v>0</v>
      </c>
      <c r="P114" t="n">
        <v>0</v>
      </c>
      <c r="R114" t="n">
        <v>0</v>
      </c>
      <c r="S114" t="n">
        <v>0</v>
      </c>
      <c r="U114" t="n">
        <v>0</v>
      </c>
      <c r="V114" t="n">
        <v>0</v>
      </c>
      <c r="X114">
        <f>IF(COUNTBLANK(E114,H114,K114,N114,Q114,T114,W114)&lt;7,"YES","")</f>
        <v/>
      </c>
    </row>
    <row r="115">
      <c r="A115" t="inlineStr">
        <is>
          <t>dpn_ra_kulkarni</t>
        </is>
      </c>
      <c r="B115" t="inlineStr">
        <is>
          <t>FL0B1</t>
        </is>
      </c>
      <c r="C115" t="n">
        <v>4815</v>
      </c>
      <c r="D115" t="n">
        <v>1655</v>
      </c>
      <c r="E115" t="inlineStr">
        <is>
          <t>Both</t>
        </is>
      </c>
      <c r="F115" t="n">
        <v>0</v>
      </c>
      <c r="G115" t="n">
        <v>0</v>
      </c>
      <c r="I115" t="n">
        <v>0</v>
      </c>
      <c r="J115" t="inlineStr">
        <is>
          <t>n/a</t>
        </is>
      </c>
      <c r="L115" t="n">
        <v>0</v>
      </c>
      <c r="M115" t="inlineStr">
        <is>
          <t>n/a</t>
        </is>
      </c>
      <c r="O115" t="n">
        <v>0</v>
      </c>
      <c r="P115" t="n">
        <v>0</v>
      </c>
      <c r="R115" t="n">
        <v>0</v>
      </c>
      <c r="S115" t="n">
        <v>0</v>
      </c>
      <c r="U115" t="n">
        <v>0</v>
      </c>
      <c r="V115" t="n">
        <v>0</v>
      </c>
      <c r="X115">
        <f>IF(COUNTBLANK(E115,H115,K115,N115,Q115,T115,W115)&lt;7,"YES","")</f>
        <v/>
      </c>
    </row>
    <row r="116">
      <c r="A116" t="inlineStr">
        <is>
          <t>dpn_ra_kulkarni</t>
        </is>
      </c>
      <c r="B116" t="inlineStr">
        <is>
          <t>JE81</t>
        </is>
      </c>
      <c r="C116" t="n">
        <v>3550</v>
      </c>
      <c r="D116" t="n">
        <v>1391</v>
      </c>
      <c r="E116" t="inlineStr">
        <is>
          <t>Both</t>
        </is>
      </c>
      <c r="F116" t="n">
        <v>0</v>
      </c>
      <c r="G116" t="n">
        <v>0</v>
      </c>
      <c r="I116" t="n">
        <v>0</v>
      </c>
      <c r="J116" t="inlineStr">
        <is>
          <t>n/a</t>
        </is>
      </c>
      <c r="L116" t="n">
        <v>0</v>
      </c>
      <c r="M116" t="inlineStr">
        <is>
          <t>n/a</t>
        </is>
      </c>
      <c r="O116" t="n">
        <v>0</v>
      </c>
      <c r="P116" t="n">
        <v>0</v>
      </c>
      <c r="R116" t="n">
        <v>0</v>
      </c>
      <c r="S116" t="n">
        <v>0</v>
      </c>
      <c r="U116" t="n">
        <v>0</v>
      </c>
      <c r="V116" t="n">
        <v>0</v>
      </c>
      <c r="X116">
        <f>IF(COUNTBLANK(E116,H116,K116,N116,Q116,T116,W116)&lt;7,"YES","")</f>
        <v/>
      </c>
    </row>
    <row r="117">
      <c r="A117" t="inlineStr">
        <is>
          <t>dpn_ra_kulkarni</t>
        </is>
      </c>
      <c r="B117" t="inlineStr">
        <is>
          <t>WE52</t>
        </is>
      </c>
      <c r="C117" t="n">
        <v>2915</v>
      </c>
      <c r="D117" t="n">
        <v>1519</v>
      </c>
      <c r="E117" t="inlineStr">
        <is>
          <t>Both</t>
        </is>
      </c>
      <c r="F117" t="n">
        <v>0</v>
      </c>
      <c r="G117" t="n">
        <v>0</v>
      </c>
      <c r="I117" t="n">
        <v>0</v>
      </c>
      <c r="J117" t="inlineStr">
        <is>
          <t>n/a</t>
        </is>
      </c>
      <c r="L117" t="n">
        <v>0</v>
      </c>
      <c r="M117" t="inlineStr">
        <is>
          <t>n/a</t>
        </is>
      </c>
      <c r="O117" t="n">
        <v>0</v>
      </c>
      <c r="P117" t="n">
        <v>0</v>
      </c>
      <c r="R117" t="n">
        <v>0</v>
      </c>
      <c r="S117" t="n">
        <v>0</v>
      </c>
      <c r="U117" t="n">
        <v>0</v>
      </c>
      <c r="V117" t="n">
        <v>0</v>
      </c>
      <c r="X117">
        <f>IF(COUNTBLANK(E117,H117,K117,N117,Q117,T117,W117)&lt;7,"YES","")</f>
        <v/>
      </c>
    </row>
    <row r="118">
      <c r="A118" t="inlineStr">
        <is>
          <t>dpn_ra_kulkarni</t>
        </is>
      </c>
      <c r="B118" t="inlineStr">
        <is>
          <t>G1NA1</t>
        </is>
      </c>
      <c r="C118" t="n">
        <v>5841</v>
      </c>
      <c r="D118" t="n">
        <v>3556</v>
      </c>
      <c r="E118" t="inlineStr">
        <is>
          <t>Both</t>
        </is>
      </c>
      <c r="F118" t="n">
        <v>0</v>
      </c>
      <c r="G118" t="n">
        <v>0</v>
      </c>
      <c r="I118" t="n">
        <v>0</v>
      </c>
      <c r="J118" t="inlineStr">
        <is>
          <t>n/a</t>
        </is>
      </c>
      <c r="L118" t="n">
        <v>0</v>
      </c>
      <c r="M118" t="inlineStr">
        <is>
          <t>n/a</t>
        </is>
      </c>
      <c r="O118" t="n">
        <v>0</v>
      </c>
      <c r="P118" t="n">
        <v>0</v>
      </c>
      <c r="R118" t="n">
        <v>0</v>
      </c>
      <c r="S118" t="n">
        <v>0</v>
      </c>
      <c r="U118" t="n">
        <v>0</v>
      </c>
      <c r="V118" t="n">
        <v>0</v>
      </c>
      <c r="X118">
        <f>IF(COUNTBLANK(E118,H118,K118,N118,Q118,T118,W118)&lt;7,"YES","")</f>
        <v/>
      </c>
    </row>
    <row r="119">
      <c r="A119" t="inlineStr">
        <is>
          <t>dpn_ra_kulkarni</t>
        </is>
      </c>
      <c r="B119" t="inlineStr">
        <is>
          <t>8EN1</t>
        </is>
      </c>
      <c r="C119" t="n">
        <v>2493</v>
      </c>
      <c r="D119" t="n">
        <v>1318</v>
      </c>
      <c r="E119" t="inlineStr">
        <is>
          <t>Both</t>
        </is>
      </c>
      <c r="F119" t="n">
        <v>0</v>
      </c>
      <c r="G119" t="n">
        <v>0</v>
      </c>
      <c r="I119" t="n">
        <v>0</v>
      </c>
      <c r="J119" t="inlineStr">
        <is>
          <t>n/a</t>
        </is>
      </c>
      <c r="L119" t="n">
        <v>0</v>
      </c>
      <c r="M119" t="inlineStr">
        <is>
          <t>n/a</t>
        </is>
      </c>
      <c r="O119" t="n">
        <v>0</v>
      </c>
      <c r="P119" t="n">
        <v>0</v>
      </c>
      <c r="R119" t="n">
        <v>0</v>
      </c>
      <c r="S119" t="n">
        <v>0</v>
      </c>
      <c r="U119" t="n">
        <v>0</v>
      </c>
      <c r="V119" t="n">
        <v>0</v>
      </c>
      <c r="X119">
        <f>IF(COUNTBLANK(E119,H119,K119,N119,Q119,T119,W119)&lt;7,"YES","")</f>
        <v/>
      </c>
    </row>
    <row r="120">
      <c r="A120" t="inlineStr">
        <is>
          <t>dpn_ra_kulkarni</t>
        </is>
      </c>
      <c r="B120" t="inlineStr">
        <is>
          <t>1AN1</t>
        </is>
      </c>
      <c r="C120" t="n">
        <v>3711</v>
      </c>
      <c r="D120" t="n">
        <v>1949</v>
      </c>
      <c r="E120" t="inlineStr">
        <is>
          <t>Both</t>
        </is>
      </c>
      <c r="F120" t="n">
        <v>0</v>
      </c>
      <c r="G120" t="n">
        <v>0</v>
      </c>
      <c r="I120" t="n">
        <v>0</v>
      </c>
      <c r="J120" t="inlineStr">
        <is>
          <t>n/a</t>
        </is>
      </c>
      <c r="L120" t="n">
        <v>0</v>
      </c>
      <c r="M120" t="inlineStr">
        <is>
          <t>n/a</t>
        </is>
      </c>
      <c r="O120" t="n">
        <v>0</v>
      </c>
      <c r="P120" t="n">
        <v>0</v>
      </c>
      <c r="R120" t="n">
        <v>0</v>
      </c>
      <c r="S120" t="n">
        <v>0</v>
      </c>
      <c r="U120" t="n">
        <v>0</v>
      </c>
      <c r="V120" t="n">
        <v>0</v>
      </c>
      <c r="X120">
        <f>IF(COUNTBLANK(E120,H120,K120,N120,Q120,T120,W120)&lt;7,"YES","")</f>
        <v/>
      </c>
    </row>
    <row r="121">
      <c r="A121" t="inlineStr">
        <is>
          <t>dpn_ra_kulkarni</t>
        </is>
      </c>
      <c r="B121" t="inlineStr">
        <is>
          <t>FL0A2</t>
        </is>
      </c>
      <c r="C121" t="n">
        <v>5047</v>
      </c>
      <c r="D121" t="n">
        <v>2164</v>
      </c>
      <c r="E121" t="inlineStr">
        <is>
          <t>Both</t>
        </is>
      </c>
      <c r="F121" t="n">
        <v>0</v>
      </c>
      <c r="G121" t="n">
        <v>0</v>
      </c>
      <c r="I121" t="n">
        <v>0</v>
      </c>
      <c r="J121" t="inlineStr">
        <is>
          <t>n/a</t>
        </is>
      </c>
      <c r="L121" t="n">
        <v>0</v>
      </c>
      <c r="M121" t="inlineStr">
        <is>
          <t>n/a</t>
        </is>
      </c>
      <c r="O121" t="n">
        <v>0</v>
      </c>
      <c r="P121" t="n">
        <v>0</v>
      </c>
      <c r="R121" t="n">
        <v>0</v>
      </c>
      <c r="S121" t="n">
        <v>0</v>
      </c>
      <c r="U121" t="n">
        <v>0</v>
      </c>
      <c r="V121" t="n">
        <v>0</v>
      </c>
      <c r="X121">
        <f>IF(COUNTBLANK(E121,H121,K121,N121,Q121,T121,W121)&lt;7,"YES","")</f>
        <v/>
      </c>
    </row>
    <row r="122">
      <c r="A122" t="inlineStr">
        <is>
          <t>dpn_ra_kulkarni</t>
        </is>
      </c>
      <c r="B122" t="inlineStr">
        <is>
          <t>PA71</t>
        </is>
      </c>
      <c r="C122" t="n">
        <v>4139</v>
      </c>
      <c r="D122" t="n">
        <v>2880</v>
      </c>
      <c r="E122" t="inlineStr">
        <is>
          <t>Both</t>
        </is>
      </c>
      <c r="F122" t="n">
        <v>0</v>
      </c>
      <c r="G122" t="n">
        <v>0</v>
      </c>
      <c r="I122" t="n">
        <v>0</v>
      </c>
      <c r="J122" t="inlineStr">
        <is>
          <t>n/a</t>
        </is>
      </c>
      <c r="L122" t="n">
        <v>0</v>
      </c>
      <c r="M122" t="inlineStr">
        <is>
          <t>n/a</t>
        </is>
      </c>
      <c r="O122" t="n">
        <v>0</v>
      </c>
      <c r="P122" t="n">
        <v>0</v>
      </c>
      <c r="R122" t="n">
        <v>0</v>
      </c>
      <c r="S122" t="n">
        <v>0</v>
      </c>
      <c r="U122" t="n">
        <v>0</v>
      </c>
      <c r="V122" t="n">
        <v>0</v>
      </c>
      <c r="X122">
        <f>IF(COUNTBLANK(E122,H122,K122,N122,Q122,T122,W122)&lt;7,"YES","")</f>
        <v/>
      </c>
    </row>
    <row r="123">
      <c r="A123" t="inlineStr">
        <is>
          <t>dpn_ra_kulkarni</t>
        </is>
      </c>
      <c r="B123" t="inlineStr">
        <is>
          <t>ME61</t>
        </is>
      </c>
      <c r="C123" t="n">
        <v>2571</v>
      </c>
      <c r="D123" t="n">
        <v>1453</v>
      </c>
      <c r="E123" t="inlineStr">
        <is>
          <t>Both</t>
        </is>
      </c>
      <c r="F123" t="n">
        <v>0</v>
      </c>
      <c r="G123" t="n">
        <v>0</v>
      </c>
      <c r="I123" t="n">
        <v>0</v>
      </c>
      <c r="J123" t="inlineStr">
        <is>
          <t>n/a</t>
        </is>
      </c>
      <c r="L123" t="n">
        <v>0</v>
      </c>
      <c r="M123" t="inlineStr">
        <is>
          <t>n/a</t>
        </is>
      </c>
      <c r="O123" t="n">
        <v>0</v>
      </c>
      <c r="P123" t="n">
        <v>0</v>
      </c>
      <c r="R123" t="n">
        <v>0</v>
      </c>
      <c r="S123" t="n">
        <v>0</v>
      </c>
      <c r="U123" t="n">
        <v>0</v>
      </c>
      <c r="V123" t="n">
        <v>0</v>
      </c>
      <c r="X123">
        <f>IF(COUNTBLANK(E123,H123,K123,N123,Q123,T123,W123)&lt;7,"YES","")</f>
        <v/>
      </c>
    </row>
    <row r="124">
      <c r="A124" t="inlineStr">
        <is>
          <t>dpn_ra_kulkarni</t>
        </is>
      </c>
      <c r="B124" t="inlineStr">
        <is>
          <t>1VYB2</t>
        </is>
      </c>
      <c r="C124" t="n">
        <v>4905</v>
      </c>
      <c r="D124" t="n">
        <v>2566</v>
      </c>
      <c r="E124" t="inlineStr">
        <is>
          <t>Both</t>
        </is>
      </c>
      <c r="F124" t="n">
        <v>0</v>
      </c>
      <c r="G124" t="n">
        <v>0</v>
      </c>
      <c r="I124" t="n">
        <v>0</v>
      </c>
      <c r="J124" t="inlineStr">
        <is>
          <t>n/a</t>
        </is>
      </c>
      <c r="L124" t="n">
        <v>0</v>
      </c>
      <c r="M124" t="inlineStr">
        <is>
          <t>n/a</t>
        </is>
      </c>
      <c r="O124" t="n">
        <v>0</v>
      </c>
      <c r="P124" t="n">
        <v>0</v>
      </c>
      <c r="R124" t="n">
        <v>0</v>
      </c>
      <c r="S124" t="n">
        <v>5</v>
      </c>
      <c r="T124" t="inlineStr">
        <is>
          <t>PathSeq only</t>
        </is>
      </c>
      <c r="U124" t="n">
        <v>0</v>
      </c>
      <c r="V124" t="n">
        <v>0</v>
      </c>
      <c r="X124">
        <f>IF(COUNTBLANK(E124,H124,K124,N124,Q124,T124,W124)&lt;7,"YES","")</f>
        <v/>
      </c>
    </row>
    <row r="125">
      <c r="A125" t="inlineStr">
        <is>
          <t>dpn_ra_kulkarni</t>
        </is>
      </c>
      <c r="B125" t="inlineStr">
        <is>
          <t>2OE1</t>
        </is>
      </c>
      <c r="C125" t="n">
        <v>3858</v>
      </c>
      <c r="D125" t="n">
        <v>2458</v>
      </c>
      <c r="E125" t="inlineStr">
        <is>
          <t>Both</t>
        </is>
      </c>
      <c r="F125" t="n">
        <v>0</v>
      </c>
      <c r="G125" t="n">
        <v>0</v>
      </c>
      <c r="I125" t="n">
        <v>0</v>
      </c>
      <c r="J125" t="inlineStr">
        <is>
          <t>n/a</t>
        </is>
      </c>
      <c r="L125" t="n">
        <v>0</v>
      </c>
      <c r="M125" t="inlineStr">
        <is>
          <t>n/a</t>
        </is>
      </c>
      <c r="O125" t="n">
        <v>0</v>
      </c>
      <c r="P125" t="n">
        <v>0</v>
      </c>
      <c r="R125" t="n">
        <v>0</v>
      </c>
      <c r="S125" t="n">
        <v>2</v>
      </c>
      <c r="T125" t="inlineStr">
        <is>
          <t>PathSeq only</t>
        </is>
      </c>
      <c r="U125" t="n">
        <v>0</v>
      </c>
      <c r="V125" t="n">
        <v>0</v>
      </c>
      <c r="X125">
        <f>IF(COUNTBLANK(E125,H125,K125,N125,Q125,T125,W125)&lt;7,"YES","")</f>
        <v/>
      </c>
    </row>
    <row r="126">
      <c r="A126" t="inlineStr">
        <is>
          <t>dpn_ra_kulkarni</t>
        </is>
      </c>
      <c r="B126" t="inlineStr">
        <is>
          <t>4LIA1</t>
        </is>
      </c>
      <c r="C126" t="n">
        <v>5695</v>
      </c>
      <c r="D126" t="n">
        <v>3393</v>
      </c>
      <c r="E126" t="inlineStr">
        <is>
          <t>Both</t>
        </is>
      </c>
      <c r="F126" t="n">
        <v>0</v>
      </c>
      <c r="G126" t="n">
        <v>0</v>
      </c>
      <c r="I126" t="n">
        <v>0</v>
      </c>
      <c r="J126" t="inlineStr">
        <is>
          <t>n/a</t>
        </is>
      </c>
      <c r="L126" t="n">
        <v>0</v>
      </c>
      <c r="M126" t="inlineStr">
        <is>
          <t>n/a</t>
        </is>
      </c>
      <c r="O126" t="n">
        <v>0</v>
      </c>
      <c r="P126" t="n">
        <v>0</v>
      </c>
      <c r="R126" t="n">
        <v>0</v>
      </c>
      <c r="S126" t="n">
        <v>0</v>
      </c>
      <c r="U126" t="n">
        <v>0</v>
      </c>
      <c r="V126" t="n">
        <v>0</v>
      </c>
      <c r="X126">
        <f>IF(COUNTBLANK(E126,H126,K126,N126,Q126,T126,W126)&lt;7,"YES","")</f>
        <v/>
      </c>
    </row>
    <row r="127">
      <c r="A127" t="inlineStr">
        <is>
          <t>dpn_ra_kulkarni</t>
        </is>
      </c>
      <c r="B127" t="inlineStr">
        <is>
          <t>LE41</t>
        </is>
      </c>
      <c r="C127" t="n">
        <v>2585</v>
      </c>
      <c r="D127" t="n">
        <v>1407</v>
      </c>
      <c r="E127" t="inlineStr">
        <is>
          <t>Both</t>
        </is>
      </c>
      <c r="F127" t="n">
        <v>0</v>
      </c>
      <c r="G127" t="n">
        <v>0</v>
      </c>
      <c r="I127" t="n">
        <v>0</v>
      </c>
      <c r="J127" t="inlineStr">
        <is>
          <t>n/a</t>
        </is>
      </c>
      <c r="L127" t="n">
        <v>0</v>
      </c>
      <c r="M127" t="inlineStr">
        <is>
          <t>n/a</t>
        </is>
      </c>
      <c r="O127" t="n">
        <v>0</v>
      </c>
      <c r="P127" t="n">
        <v>0</v>
      </c>
      <c r="R127" t="n">
        <v>0</v>
      </c>
      <c r="S127" t="n">
        <v>0</v>
      </c>
      <c r="U127" t="n">
        <v>0</v>
      </c>
      <c r="V127" t="n">
        <v>0</v>
      </c>
      <c r="X127">
        <f>IF(COUNTBLANK(E127,H127,K127,N127,Q127,T127,W127)&lt;7,"YES","")</f>
        <v/>
      </c>
    </row>
    <row r="128">
      <c r="A128" t="inlineStr">
        <is>
          <t>dpn_ra_kulkarni</t>
        </is>
      </c>
      <c r="B128" t="inlineStr">
        <is>
          <t>J1M2</t>
        </is>
      </c>
      <c r="C128" t="n">
        <v>3093</v>
      </c>
      <c r="D128" t="n">
        <v>1698</v>
      </c>
      <c r="E128" t="inlineStr">
        <is>
          <t>Both</t>
        </is>
      </c>
      <c r="F128" t="n">
        <v>0</v>
      </c>
      <c r="G128" t="n">
        <v>0</v>
      </c>
      <c r="I128" t="n">
        <v>0</v>
      </c>
      <c r="J128" t="inlineStr">
        <is>
          <t>n/a</t>
        </is>
      </c>
      <c r="L128" t="n">
        <v>0</v>
      </c>
      <c r="M128" t="inlineStr">
        <is>
          <t>n/a</t>
        </is>
      </c>
      <c r="O128" t="n">
        <v>0</v>
      </c>
      <c r="P128" t="n">
        <v>1</v>
      </c>
      <c r="Q128" t="inlineStr">
        <is>
          <t>PathSeq only</t>
        </is>
      </c>
      <c r="R128" t="n">
        <v>0</v>
      </c>
      <c r="S128" t="n">
        <v>0</v>
      </c>
      <c r="U128" t="n">
        <v>0</v>
      </c>
      <c r="V128" t="n">
        <v>0</v>
      </c>
      <c r="X128">
        <f>IF(COUNTBLANK(E128,H128,K128,N128,Q128,T128,W128)&lt;7,"YES","")</f>
        <v/>
      </c>
    </row>
    <row r="129">
      <c r="A129" t="inlineStr">
        <is>
          <t>dpn_ra_kulkarni</t>
        </is>
      </c>
      <c r="B129" t="inlineStr">
        <is>
          <t>S1D1</t>
        </is>
      </c>
      <c r="C129" t="n">
        <v>3607</v>
      </c>
      <c r="D129" t="n">
        <v>2269</v>
      </c>
      <c r="E129" t="inlineStr">
        <is>
          <t>Both</t>
        </is>
      </c>
      <c r="F129" t="n">
        <v>0</v>
      </c>
      <c r="G129" t="n">
        <v>0</v>
      </c>
      <c r="I129" t="n">
        <v>0</v>
      </c>
      <c r="J129" t="inlineStr">
        <is>
          <t>n/a</t>
        </is>
      </c>
      <c r="L129" t="n">
        <v>0</v>
      </c>
      <c r="M129" t="inlineStr">
        <is>
          <t>n/a</t>
        </is>
      </c>
      <c r="O129" t="n">
        <v>0</v>
      </c>
      <c r="P129" t="n">
        <v>0</v>
      </c>
      <c r="R129" t="n">
        <v>0</v>
      </c>
      <c r="S129" t="n">
        <v>0</v>
      </c>
      <c r="U129" t="n">
        <v>0</v>
      </c>
      <c r="V129" t="n">
        <v>0</v>
      </c>
      <c r="X129">
        <f>IF(COUNTBLANK(E129,H129,K129,N129,Q129,T129,W129)&lt;7,"YES","")</f>
        <v/>
      </c>
    </row>
    <row r="130">
      <c r="A130" t="inlineStr">
        <is>
          <t>dpn_ra_kulkarni</t>
        </is>
      </c>
      <c r="B130" t="inlineStr">
        <is>
          <t>RO52</t>
        </is>
      </c>
      <c r="C130" t="n">
        <v>3465</v>
      </c>
      <c r="D130" t="n">
        <v>1958</v>
      </c>
      <c r="E130" t="inlineStr">
        <is>
          <t>Both</t>
        </is>
      </c>
      <c r="F130" t="n">
        <v>0</v>
      </c>
      <c r="G130" t="n">
        <v>0</v>
      </c>
      <c r="I130" t="n">
        <v>0</v>
      </c>
      <c r="J130" t="inlineStr">
        <is>
          <t>n/a</t>
        </is>
      </c>
      <c r="L130" t="n">
        <v>0</v>
      </c>
      <c r="M130" t="inlineStr">
        <is>
          <t>n/a</t>
        </is>
      </c>
      <c r="O130" t="n">
        <v>0</v>
      </c>
      <c r="P130" t="n">
        <v>0</v>
      </c>
      <c r="R130" t="n">
        <v>0</v>
      </c>
      <c r="S130" t="n">
        <v>0</v>
      </c>
      <c r="U130" t="n">
        <v>0</v>
      </c>
      <c r="V130" t="n">
        <v>0</v>
      </c>
      <c r="X130">
        <f>IF(COUNTBLANK(E130,H130,K130,N130,Q130,T130,W130)&lt;7,"YES","")</f>
        <v/>
      </c>
    </row>
    <row r="131">
      <c r="A131" t="inlineStr">
        <is>
          <t>dpn_ra_kulkarni</t>
        </is>
      </c>
      <c r="B131" t="inlineStr">
        <is>
          <t>T0M2</t>
        </is>
      </c>
      <c r="C131" t="n">
        <v>3033</v>
      </c>
      <c r="D131" t="n">
        <v>1591</v>
      </c>
      <c r="E131" t="inlineStr">
        <is>
          <t>Both</t>
        </is>
      </c>
      <c r="F131" t="n">
        <v>0</v>
      </c>
      <c r="G131" t="n">
        <v>0</v>
      </c>
      <c r="I131" t="n">
        <v>0</v>
      </c>
      <c r="J131" t="inlineStr">
        <is>
          <t>n/a</t>
        </is>
      </c>
      <c r="L131" t="n">
        <v>0</v>
      </c>
      <c r="M131" t="inlineStr">
        <is>
          <t>n/a</t>
        </is>
      </c>
      <c r="O131" t="n">
        <v>0</v>
      </c>
      <c r="P131" t="n">
        <v>0</v>
      </c>
      <c r="R131" t="n">
        <v>0</v>
      </c>
      <c r="S131" t="n">
        <v>0</v>
      </c>
      <c r="U131" t="n">
        <v>0</v>
      </c>
      <c r="V131" t="n">
        <v>0</v>
      </c>
      <c r="X131">
        <f>IF(COUNTBLANK(E131,H131,K131,N131,Q131,T131,W131)&lt;7,"YES","")</f>
        <v/>
      </c>
    </row>
    <row r="132">
      <c r="A132" t="inlineStr">
        <is>
          <t>dpn_ra_kulkarni</t>
        </is>
      </c>
      <c r="B132" t="inlineStr">
        <is>
          <t>1VYA1</t>
        </is>
      </c>
      <c r="C132" t="n">
        <v>5074</v>
      </c>
      <c r="D132" t="n">
        <v>2802</v>
      </c>
      <c r="E132" t="inlineStr">
        <is>
          <t>Both</t>
        </is>
      </c>
      <c r="F132" t="n">
        <v>0</v>
      </c>
      <c r="G132" t="n">
        <v>0</v>
      </c>
      <c r="I132" t="n">
        <v>0</v>
      </c>
      <c r="J132" t="inlineStr">
        <is>
          <t>n/a</t>
        </is>
      </c>
      <c r="L132" t="n">
        <v>0</v>
      </c>
      <c r="M132" t="inlineStr">
        <is>
          <t>n/a</t>
        </is>
      </c>
      <c r="O132" t="n">
        <v>0</v>
      </c>
      <c r="P132" t="n">
        <v>0</v>
      </c>
      <c r="R132" t="n">
        <v>0</v>
      </c>
      <c r="S132" t="n">
        <v>3</v>
      </c>
      <c r="T132" t="inlineStr">
        <is>
          <t>PathSeq only</t>
        </is>
      </c>
      <c r="U132" t="n">
        <v>0</v>
      </c>
      <c r="V132" t="n">
        <v>0</v>
      </c>
      <c r="X132">
        <f>IF(COUNTBLANK(E132,H132,K132,N132,Q132,T132,W132)&lt;7,"YES","")</f>
        <v/>
      </c>
    </row>
    <row r="133">
      <c r="A133" t="inlineStr">
        <is>
          <t>osm_juliet</t>
        </is>
      </c>
      <c r="B133" t="inlineStr">
        <is>
          <t>D1O1</t>
        </is>
      </c>
      <c r="C133" t="n">
        <v>4139</v>
      </c>
      <c r="D133" t="n">
        <v>2188</v>
      </c>
      <c r="E133" t="inlineStr">
        <is>
          <t>Both</t>
        </is>
      </c>
      <c r="F133" t="n">
        <v>0</v>
      </c>
      <c r="G133" t="n">
        <v>0</v>
      </c>
      <c r="I133" t="n">
        <v>0</v>
      </c>
      <c r="J133" t="inlineStr">
        <is>
          <t>n/a</t>
        </is>
      </c>
      <c r="L133" t="n">
        <v>0</v>
      </c>
      <c r="M133" t="inlineStr">
        <is>
          <t>n/a</t>
        </is>
      </c>
      <c r="O133" t="n">
        <v>0</v>
      </c>
      <c r="P133" t="n">
        <v>0</v>
      </c>
      <c r="R133" t="n">
        <v>0</v>
      </c>
      <c r="S133" t="n">
        <v>0</v>
      </c>
      <c r="U133" t="n">
        <v>0</v>
      </c>
      <c r="V133" t="n">
        <v>0</v>
      </c>
      <c r="X133">
        <f>IF(COUNTBLANK(E133,H133,K133,N133,Q133,T133,W133)&lt;7,"YES","")</f>
        <v/>
      </c>
    </row>
    <row r="134">
      <c r="A134" t="inlineStr">
        <is>
          <t>osm_juliet</t>
        </is>
      </c>
      <c r="B134" t="inlineStr">
        <is>
          <t>D3O1</t>
        </is>
      </c>
      <c r="C134" t="n">
        <v>3183</v>
      </c>
      <c r="D134" t="n">
        <v>1827</v>
      </c>
      <c r="E134" t="inlineStr">
        <is>
          <t>Both</t>
        </is>
      </c>
      <c r="F134" t="n">
        <v>0</v>
      </c>
      <c r="G134" t="n">
        <v>0</v>
      </c>
      <c r="I134" t="n">
        <v>0</v>
      </c>
      <c r="J134" t="inlineStr">
        <is>
          <t>n/a</t>
        </is>
      </c>
      <c r="L134" t="n">
        <v>0</v>
      </c>
      <c r="M134" t="inlineStr">
        <is>
          <t>n/a</t>
        </is>
      </c>
      <c r="O134" t="n">
        <v>0</v>
      </c>
      <c r="P134" t="n">
        <v>0</v>
      </c>
      <c r="R134" t="n">
        <v>0</v>
      </c>
      <c r="S134" t="n">
        <v>0</v>
      </c>
      <c r="U134" t="n">
        <v>0</v>
      </c>
      <c r="V134" t="n">
        <v>0</v>
      </c>
      <c r="X134">
        <f>IF(COUNTBLANK(E134,H134,K134,N134,Q134,T134,W134)&lt;7,"YES","")</f>
        <v/>
      </c>
    </row>
    <row r="135">
      <c r="A135" t="inlineStr">
        <is>
          <t>osm_juliet</t>
        </is>
      </c>
      <c r="B135" t="inlineStr">
        <is>
          <t>D1V1</t>
        </is>
      </c>
      <c r="C135" t="n">
        <v>2668</v>
      </c>
      <c r="D135" t="n">
        <v>1687</v>
      </c>
      <c r="E135" t="inlineStr">
        <is>
          <t>Both</t>
        </is>
      </c>
      <c r="F135" t="n">
        <v>0</v>
      </c>
      <c r="G135" t="n">
        <v>0</v>
      </c>
      <c r="I135" t="n">
        <v>0</v>
      </c>
      <c r="J135" t="inlineStr">
        <is>
          <t>n/a</t>
        </is>
      </c>
      <c r="L135" t="n">
        <v>0</v>
      </c>
      <c r="M135" t="inlineStr">
        <is>
          <t>n/a</t>
        </is>
      </c>
      <c r="O135" t="n">
        <v>0</v>
      </c>
      <c r="P135" t="n">
        <v>0</v>
      </c>
      <c r="R135" t="n">
        <v>0</v>
      </c>
      <c r="S135" t="n">
        <v>0</v>
      </c>
      <c r="U135" t="n">
        <v>0</v>
      </c>
      <c r="V135" t="n">
        <v>0</v>
      </c>
      <c r="X135">
        <f>IF(COUNTBLANK(E135,H135,K135,N135,Q135,T135,W135)&lt;7,"YES","")</f>
        <v/>
      </c>
    </row>
    <row r="136">
      <c r="A136" t="inlineStr">
        <is>
          <t>osm_juliet</t>
        </is>
      </c>
      <c r="B136" t="inlineStr">
        <is>
          <t>D3V2</t>
        </is>
      </c>
      <c r="C136" t="n">
        <v>5004</v>
      </c>
      <c r="D136" t="n">
        <v>2253</v>
      </c>
      <c r="E136" t="inlineStr">
        <is>
          <t>Both</t>
        </is>
      </c>
      <c r="F136" t="n">
        <v>0</v>
      </c>
      <c r="G136" t="n">
        <v>0</v>
      </c>
      <c r="I136" t="n">
        <v>0</v>
      </c>
      <c r="J136" t="inlineStr">
        <is>
          <t>n/a</t>
        </is>
      </c>
      <c r="L136" t="n">
        <v>0</v>
      </c>
      <c r="M136" t="inlineStr">
        <is>
          <t>n/a</t>
        </is>
      </c>
      <c r="O136" t="n">
        <v>0</v>
      </c>
      <c r="P136" t="n">
        <v>0</v>
      </c>
      <c r="R136" t="n">
        <v>0</v>
      </c>
      <c r="S136" t="n">
        <v>0</v>
      </c>
      <c r="U136" t="n">
        <v>0</v>
      </c>
      <c r="V136" t="n">
        <v>0</v>
      </c>
      <c r="X136">
        <f>IF(COUNTBLANK(E136,H136,K136,N136,Q136,T136,W136)&lt;7,"YES","")</f>
        <v/>
      </c>
    </row>
    <row r="137">
      <c r="A137" t="inlineStr">
        <is>
          <t>osm_juliet</t>
        </is>
      </c>
      <c r="B137" t="inlineStr">
        <is>
          <t>D3O3</t>
        </is>
      </c>
      <c r="C137" t="n">
        <v>2883</v>
      </c>
      <c r="D137" t="n">
        <v>1739</v>
      </c>
      <c r="E137" t="inlineStr">
        <is>
          <t>Both</t>
        </is>
      </c>
      <c r="F137" t="n">
        <v>0</v>
      </c>
      <c r="G137" t="n">
        <v>0</v>
      </c>
      <c r="I137" t="n">
        <v>0</v>
      </c>
      <c r="J137" t="inlineStr">
        <is>
          <t>n/a</t>
        </is>
      </c>
      <c r="L137" t="n">
        <v>0</v>
      </c>
      <c r="M137" t="inlineStr">
        <is>
          <t>n/a</t>
        </is>
      </c>
      <c r="O137" t="n">
        <v>0</v>
      </c>
      <c r="P137" t="n">
        <v>0</v>
      </c>
      <c r="R137" t="n">
        <v>0</v>
      </c>
      <c r="S137" t="n">
        <v>0</v>
      </c>
      <c r="U137" t="n">
        <v>0</v>
      </c>
      <c r="V137" t="n">
        <v>0</v>
      </c>
      <c r="X137">
        <f>IF(COUNTBLANK(E137,H137,K137,N137,Q137,T137,W137)&lt;7,"YES","")</f>
        <v/>
      </c>
    </row>
    <row r="138">
      <c r="A138" t="inlineStr">
        <is>
          <t>osm_juliet</t>
        </is>
      </c>
      <c r="B138" t="inlineStr">
        <is>
          <t>D2V2</t>
        </is>
      </c>
      <c r="C138" t="n">
        <v>3232</v>
      </c>
      <c r="D138" t="n">
        <v>1730</v>
      </c>
      <c r="E138" t="inlineStr">
        <is>
          <t>Both</t>
        </is>
      </c>
      <c r="F138" t="n">
        <v>0</v>
      </c>
      <c r="G138" t="n">
        <v>0</v>
      </c>
      <c r="I138" t="n">
        <v>0</v>
      </c>
      <c r="J138" t="inlineStr">
        <is>
          <t>n/a</t>
        </is>
      </c>
      <c r="L138" t="n">
        <v>0</v>
      </c>
      <c r="M138" t="inlineStr">
        <is>
          <t>n/a</t>
        </is>
      </c>
      <c r="O138" t="n">
        <v>0</v>
      </c>
      <c r="P138" t="n">
        <v>0</v>
      </c>
      <c r="R138" t="n">
        <v>0</v>
      </c>
      <c r="S138" t="n">
        <v>0</v>
      </c>
      <c r="U138" t="n">
        <v>0</v>
      </c>
      <c r="V138" t="n">
        <v>0</v>
      </c>
      <c r="X138">
        <f>IF(COUNTBLANK(E138,H138,K138,N138,Q138,T138,W138)&lt;7,"YES","")</f>
        <v/>
      </c>
    </row>
    <row r="139">
      <c r="A139" t="inlineStr">
        <is>
          <t>osm_juliet</t>
        </is>
      </c>
      <c r="B139" t="inlineStr">
        <is>
          <t>D2O1</t>
        </is>
      </c>
      <c r="C139" t="n">
        <v>3685</v>
      </c>
      <c r="D139" t="n">
        <v>2030</v>
      </c>
      <c r="E139" t="inlineStr">
        <is>
          <t>Both</t>
        </is>
      </c>
      <c r="F139" t="n">
        <v>0</v>
      </c>
      <c r="G139" t="n">
        <v>0</v>
      </c>
      <c r="I139" t="n">
        <v>0</v>
      </c>
      <c r="J139" t="inlineStr">
        <is>
          <t>n/a</t>
        </is>
      </c>
      <c r="L139" t="n">
        <v>0</v>
      </c>
      <c r="M139" t="inlineStr">
        <is>
          <t>n/a</t>
        </is>
      </c>
      <c r="O139" t="n">
        <v>0</v>
      </c>
      <c r="P139" t="n">
        <v>0</v>
      </c>
      <c r="R139" t="n">
        <v>0</v>
      </c>
      <c r="S139" t="n">
        <v>0</v>
      </c>
      <c r="U139" t="n">
        <v>0</v>
      </c>
      <c r="V139" t="n">
        <v>0</v>
      </c>
      <c r="X139">
        <f>IF(COUNTBLANK(E139,H139,K139,N139,Q139,T139,W139)&lt;7,"YES","")</f>
        <v/>
      </c>
    </row>
    <row r="140">
      <c r="A140" t="inlineStr">
        <is>
          <t>osm_juliet</t>
        </is>
      </c>
      <c r="B140" t="inlineStr">
        <is>
          <t>D1O2</t>
        </is>
      </c>
      <c r="C140" t="n">
        <v>3944</v>
      </c>
      <c r="D140" t="n">
        <v>1870</v>
      </c>
      <c r="E140" t="inlineStr">
        <is>
          <t>Both</t>
        </is>
      </c>
      <c r="F140" t="n">
        <v>0</v>
      </c>
      <c r="G140" t="n">
        <v>0</v>
      </c>
      <c r="I140" t="n">
        <v>0</v>
      </c>
      <c r="J140" t="inlineStr">
        <is>
          <t>n/a</t>
        </is>
      </c>
      <c r="L140" t="n">
        <v>0</v>
      </c>
      <c r="M140" t="inlineStr">
        <is>
          <t>n/a</t>
        </is>
      </c>
      <c r="O140" t="n">
        <v>0</v>
      </c>
      <c r="P140" t="n">
        <v>0</v>
      </c>
      <c r="R140" t="n">
        <v>0</v>
      </c>
      <c r="S140" t="n">
        <v>0</v>
      </c>
      <c r="U140" t="n">
        <v>0</v>
      </c>
      <c r="V140" t="n">
        <v>0</v>
      </c>
      <c r="X140">
        <f>IF(COUNTBLANK(E140,H140,K140,N140,Q140,T140,W140)&lt;7,"YES","")</f>
        <v/>
      </c>
    </row>
    <row r="141">
      <c r="A141" t="inlineStr">
        <is>
          <t>osm_juliet</t>
        </is>
      </c>
      <c r="B141" t="inlineStr">
        <is>
          <t>D3V3</t>
        </is>
      </c>
      <c r="C141" t="n">
        <v>5209</v>
      </c>
      <c r="D141" t="n">
        <v>2289</v>
      </c>
      <c r="E141" t="inlineStr">
        <is>
          <t>Both</t>
        </is>
      </c>
      <c r="F141" t="n">
        <v>0</v>
      </c>
      <c r="G141" t="n">
        <v>0</v>
      </c>
      <c r="I141" t="n">
        <v>0</v>
      </c>
      <c r="J141" t="inlineStr">
        <is>
          <t>n/a</t>
        </is>
      </c>
      <c r="L141" t="n">
        <v>0</v>
      </c>
      <c r="M141" t="inlineStr">
        <is>
          <t>n/a</t>
        </is>
      </c>
      <c r="O141" t="n">
        <v>0</v>
      </c>
      <c r="P141" t="n">
        <v>0</v>
      </c>
      <c r="R141" t="n">
        <v>0</v>
      </c>
      <c r="S141" t="n">
        <v>0</v>
      </c>
      <c r="U141" t="n">
        <v>0</v>
      </c>
      <c r="V141" t="n">
        <v>0</v>
      </c>
      <c r="X141">
        <f>IF(COUNTBLANK(E141,H141,K141,N141,Q141,T141,W141)&lt;7,"YES","")</f>
        <v/>
      </c>
    </row>
    <row r="142">
      <c r="A142" t="inlineStr">
        <is>
          <t>osm_juliet</t>
        </is>
      </c>
      <c r="B142" t="inlineStr">
        <is>
          <t>D2V3</t>
        </is>
      </c>
      <c r="C142" t="n">
        <v>3513</v>
      </c>
      <c r="D142" t="n">
        <v>1673</v>
      </c>
      <c r="E142" t="inlineStr">
        <is>
          <t>Both</t>
        </is>
      </c>
      <c r="F142" t="n">
        <v>0</v>
      </c>
      <c r="G142" t="n">
        <v>0</v>
      </c>
      <c r="I142" t="n">
        <v>0</v>
      </c>
      <c r="J142" t="inlineStr">
        <is>
          <t>n/a</t>
        </is>
      </c>
      <c r="L142" t="n">
        <v>0</v>
      </c>
      <c r="M142" t="inlineStr">
        <is>
          <t>n/a</t>
        </is>
      </c>
      <c r="O142" t="n">
        <v>0</v>
      </c>
      <c r="P142" t="n">
        <v>0</v>
      </c>
      <c r="R142" t="n">
        <v>0</v>
      </c>
      <c r="S142" t="n">
        <v>0</v>
      </c>
      <c r="U142" t="n">
        <v>0</v>
      </c>
      <c r="V142" t="n">
        <v>0</v>
      </c>
      <c r="X142">
        <f>IF(COUNTBLANK(E142,H142,K142,N142,Q142,T142,W142)&lt;7,"YES","")</f>
        <v/>
      </c>
    </row>
    <row r="143">
      <c r="A143" t="inlineStr">
        <is>
          <t>osm_juliet</t>
        </is>
      </c>
      <c r="B143" t="inlineStr">
        <is>
          <t>D3V1</t>
        </is>
      </c>
      <c r="C143" t="n">
        <v>2173</v>
      </c>
      <c r="D143" t="n">
        <v>1344</v>
      </c>
      <c r="E143" t="inlineStr">
        <is>
          <t>Both</t>
        </is>
      </c>
      <c r="F143" t="n">
        <v>0</v>
      </c>
      <c r="G143" t="n">
        <v>0</v>
      </c>
      <c r="I143" t="n">
        <v>0</v>
      </c>
      <c r="J143" t="inlineStr">
        <is>
          <t>n/a</t>
        </is>
      </c>
      <c r="L143" t="n">
        <v>0</v>
      </c>
      <c r="M143" t="inlineStr">
        <is>
          <t>n/a</t>
        </is>
      </c>
      <c r="O143" t="n">
        <v>0</v>
      </c>
      <c r="P143" t="n">
        <v>0</v>
      </c>
      <c r="R143" t="n">
        <v>0</v>
      </c>
      <c r="S143" t="n">
        <v>0</v>
      </c>
      <c r="U143" t="n">
        <v>0</v>
      </c>
      <c r="V143" t="n">
        <v>0</v>
      </c>
      <c r="X143">
        <f>IF(COUNTBLANK(E143,H143,K143,N143,Q143,T143,W143)&lt;7,"YES","")</f>
        <v/>
      </c>
    </row>
    <row r="144">
      <c r="A144" t="inlineStr">
        <is>
          <t>osm_juliet</t>
        </is>
      </c>
      <c r="B144" t="inlineStr">
        <is>
          <t>D2V1</t>
        </is>
      </c>
      <c r="C144" t="n">
        <v>3928</v>
      </c>
      <c r="D144" t="n">
        <v>2128</v>
      </c>
      <c r="E144" t="inlineStr">
        <is>
          <t>Both</t>
        </is>
      </c>
      <c r="F144" t="n">
        <v>0</v>
      </c>
      <c r="G144" t="n">
        <v>0</v>
      </c>
      <c r="I144" t="n">
        <v>0</v>
      </c>
      <c r="J144" t="inlineStr">
        <is>
          <t>n/a</t>
        </is>
      </c>
      <c r="L144" t="n">
        <v>0</v>
      </c>
      <c r="M144" t="inlineStr">
        <is>
          <t>n/a</t>
        </is>
      </c>
      <c r="O144" t="n">
        <v>0</v>
      </c>
      <c r="P144" t="n">
        <v>0</v>
      </c>
      <c r="R144" t="n">
        <v>0</v>
      </c>
      <c r="S144" t="n">
        <v>0</v>
      </c>
      <c r="U144" t="n">
        <v>0</v>
      </c>
      <c r="V144" t="n">
        <v>0</v>
      </c>
      <c r="X144">
        <f>IF(COUNTBLANK(E144,H144,K144,N144,Q144,T144,W144)&lt;7,"YES","")</f>
        <v/>
      </c>
    </row>
    <row r="145">
      <c r="A145" t="inlineStr">
        <is>
          <t>osm_juliet</t>
        </is>
      </c>
      <c r="B145" t="inlineStr">
        <is>
          <t>D1V3</t>
        </is>
      </c>
      <c r="C145" t="n">
        <v>5277</v>
      </c>
      <c r="D145" t="n">
        <v>2820</v>
      </c>
      <c r="E145" t="inlineStr">
        <is>
          <t>Both</t>
        </is>
      </c>
      <c r="F145" t="n">
        <v>0</v>
      </c>
      <c r="G145" t="n">
        <v>0</v>
      </c>
      <c r="I145" t="n">
        <v>0</v>
      </c>
      <c r="J145" t="inlineStr">
        <is>
          <t>n/a</t>
        </is>
      </c>
      <c r="L145" t="n">
        <v>0</v>
      </c>
      <c r="M145" t="inlineStr">
        <is>
          <t>n/a</t>
        </is>
      </c>
      <c r="O145" t="n">
        <v>0</v>
      </c>
      <c r="P145" t="n">
        <v>0</v>
      </c>
      <c r="R145" t="n">
        <v>0</v>
      </c>
      <c r="S145" t="n">
        <v>0</v>
      </c>
      <c r="U145" t="n">
        <v>0</v>
      </c>
      <c r="V145" t="n">
        <v>0</v>
      </c>
      <c r="X145">
        <f>IF(COUNTBLANK(E145,H145,K145,N145,Q145,T145,W145)&lt;7,"YES","")</f>
        <v/>
      </c>
    </row>
    <row r="146">
      <c r="A146" t="inlineStr">
        <is>
          <t>osm_juliet</t>
        </is>
      </c>
      <c r="B146" t="inlineStr">
        <is>
          <t>D2O3</t>
        </is>
      </c>
      <c r="C146" t="n">
        <v>5092</v>
      </c>
      <c r="D146" t="n">
        <v>2514</v>
      </c>
      <c r="E146" t="inlineStr">
        <is>
          <t>Both</t>
        </is>
      </c>
      <c r="F146" t="n">
        <v>0</v>
      </c>
      <c r="G146" t="n">
        <v>0</v>
      </c>
      <c r="I146" t="n">
        <v>0</v>
      </c>
      <c r="J146" t="inlineStr">
        <is>
          <t>n/a</t>
        </is>
      </c>
      <c r="L146" t="n">
        <v>0</v>
      </c>
      <c r="M146" t="inlineStr">
        <is>
          <t>n/a</t>
        </is>
      </c>
      <c r="O146" t="n">
        <v>0</v>
      </c>
      <c r="P146" t="n">
        <v>0</v>
      </c>
      <c r="R146" t="n">
        <v>0</v>
      </c>
      <c r="S146" t="n">
        <v>0</v>
      </c>
      <c r="U146" t="n">
        <v>0</v>
      </c>
      <c r="V146" t="n">
        <v>0</v>
      </c>
      <c r="X146">
        <f>IF(COUNTBLANK(E146,H146,K146,N146,Q146,T146,W146)&lt;7,"YES","")</f>
        <v/>
      </c>
    </row>
    <row r="147">
      <c r="A147" t="inlineStr">
        <is>
          <t>osm_juliet</t>
        </is>
      </c>
      <c r="B147" t="inlineStr">
        <is>
          <t>D3O2</t>
        </is>
      </c>
      <c r="C147" t="n">
        <v>3618</v>
      </c>
      <c r="D147" t="n">
        <v>1787</v>
      </c>
      <c r="E147" t="inlineStr">
        <is>
          <t>Both</t>
        </is>
      </c>
      <c r="F147" t="n">
        <v>0</v>
      </c>
      <c r="G147" t="n">
        <v>0</v>
      </c>
      <c r="I147" t="n">
        <v>0</v>
      </c>
      <c r="J147" t="inlineStr">
        <is>
          <t>n/a</t>
        </is>
      </c>
      <c r="L147" t="n">
        <v>0</v>
      </c>
      <c r="M147" t="inlineStr">
        <is>
          <t>n/a</t>
        </is>
      </c>
      <c r="O147" t="n">
        <v>0</v>
      </c>
      <c r="P147" t="n">
        <v>0</v>
      </c>
      <c r="R147" t="n">
        <v>0</v>
      </c>
      <c r="S147" t="n">
        <v>0</v>
      </c>
      <c r="U147" t="n">
        <v>0</v>
      </c>
      <c r="V147" t="n">
        <v>0</v>
      </c>
      <c r="X147">
        <f>IF(COUNTBLANK(E147,H147,K147,N147,Q147,T147,W147)&lt;7,"YES","")</f>
        <v/>
      </c>
    </row>
    <row r="148">
      <c r="A148" t="inlineStr">
        <is>
          <t>osm_juliet</t>
        </is>
      </c>
      <c r="B148" t="inlineStr">
        <is>
          <t>D1O3</t>
        </is>
      </c>
      <c r="C148" t="n">
        <v>3825</v>
      </c>
      <c r="D148" t="n">
        <v>2244</v>
      </c>
      <c r="E148" t="inlineStr">
        <is>
          <t>Both</t>
        </is>
      </c>
      <c r="F148" t="n">
        <v>0</v>
      </c>
      <c r="G148" t="n">
        <v>0</v>
      </c>
      <c r="I148" t="n">
        <v>0</v>
      </c>
      <c r="J148" t="inlineStr">
        <is>
          <t>n/a</t>
        </is>
      </c>
      <c r="L148" t="n">
        <v>0</v>
      </c>
      <c r="M148" t="inlineStr">
        <is>
          <t>n/a</t>
        </is>
      </c>
      <c r="O148" t="n">
        <v>0</v>
      </c>
      <c r="P148" t="n">
        <v>0</v>
      </c>
      <c r="R148" t="n">
        <v>0</v>
      </c>
      <c r="S148" t="n">
        <v>0</v>
      </c>
      <c r="U148" t="n">
        <v>0</v>
      </c>
      <c r="V148" t="n">
        <v>0</v>
      </c>
      <c r="X148">
        <f>IF(COUNTBLANK(E148,H148,K148,N148,Q148,T148,W148)&lt;7,"YES","")</f>
        <v/>
      </c>
    </row>
    <row r="149">
      <c r="A149" t="inlineStr">
        <is>
          <t>osm_juliet</t>
        </is>
      </c>
      <c r="B149" t="inlineStr">
        <is>
          <t>D2O2</t>
        </is>
      </c>
      <c r="C149" t="n">
        <v>3683</v>
      </c>
      <c r="D149" t="n">
        <v>2152</v>
      </c>
      <c r="E149" t="inlineStr">
        <is>
          <t>Both</t>
        </is>
      </c>
      <c r="F149" t="n">
        <v>0</v>
      </c>
      <c r="G149" t="n">
        <v>0</v>
      </c>
      <c r="I149" t="n">
        <v>0</v>
      </c>
      <c r="J149" t="inlineStr">
        <is>
          <t>n/a</t>
        </is>
      </c>
      <c r="L149" t="n">
        <v>0</v>
      </c>
      <c r="M149" t="inlineStr">
        <is>
          <t>n/a</t>
        </is>
      </c>
      <c r="O149" t="n">
        <v>0</v>
      </c>
      <c r="P149" t="n">
        <v>0</v>
      </c>
      <c r="R149" t="n">
        <v>0</v>
      </c>
      <c r="S149" t="n">
        <v>0</v>
      </c>
      <c r="U149" t="n">
        <v>0</v>
      </c>
      <c r="V149" t="n">
        <v>0</v>
      </c>
      <c r="X149">
        <f>IF(COUNTBLANK(E149,H149,K149,N149,Q149,T149,W149)&lt;7,"YES","")</f>
        <v/>
      </c>
    </row>
    <row r="150">
      <c r="A150" t="inlineStr">
        <is>
          <t>osm_juliet</t>
        </is>
      </c>
      <c r="B150" t="inlineStr">
        <is>
          <t>D1V2</t>
        </is>
      </c>
      <c r="C150" t="n">
        <v>3240</v>
      </c>
      <c r="D150" t="n">
        <v>1933</v>
      </c>
      <c r="E150" t="inlineStr">
        <is>
          <t>Both</t>
        </is>
      </c>
      <c r="F150" t="n">
        <v>0</v>
      </c>
      <c r="G150" t="n">
        <v>0</v>
      </c>
      <c r="I150" t="n">
        <v>0</v>
      </c>
      <c r="J150" t="inlineStr">
        <is>
          <t>n/a</t>
        </is>
      </c>
      <c r="L150" t="n">
        <v>0</v>
      </c>
      <c r="M150" t="inlineStr">
        <is>
          <t>n/a</t>
        </is>
      </c>
      <c r="O150" t="n">
        <v>0</v>
      </c>
      <c r="P150" t="n">
        <v>0</v>
      </c>
      <c r="R150" t="n">
        <v>0</v>
      </c>
      <c r="S150" t="n">
        <v>0</v>
      </c>
      <c r="U150" t="n">
        <v>0</v>
      </c>
      <c r="V150" t="n">
        <v>0</v>
      </c>
      <c r="X150">
        <f>IF(COUNTBLANK(E150,H150,K150,N150,Q150,T150,W150)&lt;7,"YES","")</f>
        <v/>
      </c>
    </row>
    <row r="151">
      <c r="A151" t="inlineStr">
        <is>
          <t>unknown_doloromics</t>
        </is>
      </c>
      <c r="B151" t="inlineStr">
        <is>
          <t>5A-L</t>
        </is>
      </c>
      <c r="C151" t="n">
        <v>0</v>
      </c>
      <c r="D151" t="n">
        <v>0</v>
      </c>
      <c r="F151" t="n">
        <v>0</v>
      </c>
      <c r="G151" t="n">
        <v>0</v>
      </c>
      <c r="I151" t="n">
        <v>0</v>
      </c>
      <c r="J151" t="inlineStr">
        <is>
          <t>n/a</t>
        </is>
      </c>
      <c r="L151" t="n">
        <v>0</v>
      </c>
      <c r="M151" t="inlineStr">
        <is>
          <t>n/a</t>
        </is>
      </c>
      <c r="O151" t="n">
        <v>0</v>
      </c>
      <c r="P151" t="n">
        <v>0</v>
      </c>
      <c r="R151" t="n">
        <v>0</v>
      </c>
      <c r="S151" t="n">
        <v>0</v>
      </c>
      <c r="U151" t="n">
        <v>0</v>
      </c>
      <c r="V151" t="n">
        <v>0</v>
      </c>
      <c r="X151">
        <f>IF(COUNTBLANK(E151,H151,K151,N151,Q151,T151,W151)&lt;7,"YES","")</f>
        <v/>
      </c>
    </row>
    <row r="152">
      <c r="A152" t="inlineStr">
        <is>
          <t>unknown_doloromics</t>
        </is>
      </c>
      <c r="B152" t="inlineStr">
        <is>
          <t>3A-R</t>
        </is>
      </c>
      <c r="C152" t="n">
        <v>0</v>
      </c>
      <c r="D152" t="n">
        <v>0</v>
      </c>
      <c r="F152" t="n">
        <v>0</v>
      </c>
      <c r="G152" t="n">
        <v>0</v>
      </c>
      <c r="I152" t="n">
        <v>0</v>
      </c>
      <c r="J152" t="inlineStr">
        <is>
          <t>n/a</t>
        </is>
      </c>
      <c r="L152" t="n">
        <v>0</v>
      </c>
      <c r="M152" t="inlineStr">
        <is>
          <t>n/a</t>
        </is>
      </c>
      <c r="O152" t="n">
        <v>0</v>
      </c>
      <c r="P152" t="n">
        <v>0</v>
      </c>
      <c r="R152" t="n">
        <v>0</v>
      </c>
      <c r="S152" t="n">
        <v>0</v>
      </c>
      <c r="U152" t="n">
        <v>0</v>
      </c>
      <c r="V152" t="n">
        <v>0</v>
      </c>
      <c r="X152">
        <f>IF(COUNTBLANK(E152,H152,K152,N152,Q152,T152,W152)&lt;7,"YES","")</f>
        <v/>
      </c>
    </row>
    <row r="153">
      <c r="A153" t="inlineStr">
        <is>
          <t>unknown_doloromics</t>
        </is>
      </c>
      <c r="B153" t="inlineStr">
        <is>
          <t>2A-L</t>
        </is>
      </c>
      <c r="C153" t="n">
        <v>134</v>
      </c>
      <c r="D153" t="n">
        <v>89</v>
      </c>
      <c r="E153" t="inlineStr">
        <is>
          <t>Both</t>
        </is>
      </c>
      <c r="F153" t="n">
        <v>0</v>
      </c>
      <c r="G153" t="n">
        <v>0</v>
      </c>
      <c r="I153" t="n">
        <v>0</v>
      </c>
      <c r="J153" t="inlineStr">
        <is>
          <t>n/a</t>
        </is>
      </c>
      <c r="L153" t="n">
        <v>0</v>
      </c>
      <c r="M153" t="inlineStr">
        <is>
          <t>n/a</t>
        </is>
      </c>
      <c r="O153" t="n">
        <v>0</v>
      </c>
      <c r="P153" t="n">
        <v>0</v>
      </c>
      <c r="R153" t="n">
        <v>0</v>
      </c>
      <c r="S153" t="n">
        <v>0</v>
      </c>
      <c r="U153" t="n">
        <v>0</v>
      </c>
      <c r="V153" t="n">
        <v>0</v>
      </c>
      <c r="X153">
        <f>IF(COUNTBLANK(E153,H153,K153,N153,Q153,T153,W153)&lt;7,"YES","")</f>
        <v/>
      </c>
    </row>
    <row r="154">
      <c r="A154" t="inlineStr">
        <is>
          <t>unknown_doloromics</t>
        </is>
      </c>
      <c r="B154" t="inlineStr">
        <is>
          <t>4A-L</t>
        </is>
      </c>
      <c r="C154" t="n">
        <v>0</v>
      </c>
      <c r="D154" t="n">
        <v>0</v>
      </c>
      <c r="F154" t="n">
        <v>0</v>
      </c>
      <c r="G154" t="n">
        <v>0</v>
      </c>
      <c r="I154" t="n">
        <v>0</v>
      </c>
      <c r="J154" t="inlineStr">
        <is>
          <t>n/a</t>
        </is>
      </c>
      <c r="L154" t="n">
        <v>0</v>
      </c>
      <c r="M154" t="inlineStr">
        <is>
          <t>n/a</t>
        </is>
      </c>
      <c r="O154" t="n">
        <v>0</v>
      </c>
      <c r="P154" t="n">
        <v>0</v>
      </c>
      <c r="R154" t="n">
        <v>0</v>
      </c>
      <c r="S154" t="n">
        <v>0</v>
      </c>
      <c r="U154" t="n">
        <v>0</v>
      </c>
      <c r="V154" t="n">
        <v>0</v>
      </c>
      <c r="X154">
        <f>IF(COUNTBLANK(E154,H154,K154,N154,Q154,T154,W154)&lt;7,"YES","")</f>
        <v/>
      </c>
    </row>
    <row r="155">
      <c r="A155" t="inlineStr">
        <is>
          <t>unknown_doloromics</t>
        </is>
      </c>
      <c r="B155" t="inlineStr">
        <is>
          <t>3A-L</t>
        </is>
      </c>
      <c r="C155" t="n">
        <v>0</v>
      </c>
      <c r="D155" t="n">
        <v>2</v>
      </c>
      <c r="E155" t="inlineStr">
        <is>
          <t>PathSeq only</t>
        </is>
      </c>
      <c r="F155" t="n">
        <v>0</v>
      </c>
      <c r="G155" t="n">
        <v>0</v>
      </c>
      <c r="I155" t="n">
        <v>0</v>
      </c>
      <c r="J155" t="inlineStr">
        <is>
          <t>n/a</t>
        </is>
      </c>
      <c r="L155" t="n">
        <v>0</v>
      </c>
      <c r="M155" t="inlineStr">
        <is>
          <t>n/a</t>
        </is>
      </c>
      <c r="O155" t="n">
        <v>0</v>
      </c>
      <c r="P155" t="n">
        <v>0</v>
      </c>
      <c r="R155" t="n">
        <v>0</v>
      </c>
      <c r="S155" t="n">
        <v>0</v>
      </c>
      <c r="U155" t="n">
        <v>0</v>
      </c>
      <c r="V155" t="n">
        <v>0</v>
      </c>
      <c r="X155">
        <f>IF(COUNTBLANK(E155,H155,K155,N155,Q155,T155,W155)&lt;7,"YES","")</f>
        <v/>
      </c>
    </row>
    <row r="156">
      <c r="A156" t="inlineStr">
        <is>
          <t>unknown_doloromics</t>
        </is>
      </c>
      <c r="B156" t="inlineStr">
        <is>
          <t>5A-R</t>
        </is>
      </c>
      <c r="C156" t="n">
        <v>1279</v>
      </c>
      <c r="D156" t="n">
        <v>789</v>
      </c>
      <c r="E156" t="inlineStr">
        <is>
          <t>Both</t>
        </is>
      </c>
      <c r="F156" t="n">
        <v>0</v>
      </c>
      <c r="G156" t="n">
        <v>0</v>
      </c>
      <c r="I156" t="n">
        <v>0</v>
      </c>
      <c r="J156" t="inlineStr">
        <is>
          <t>n/a</t>
        </is>
      </c>
      <c r="L156" t="n">
        <v>0</v>
      </c>
      <c r="M156" t="inlineStr">
        <is>
          <t>n/a</t>
        </is>
      </c>
      <c r="O156" t="n">
        <v>0</v>
      </c>
      <c r="P156" t="n">
        <v>0</v>
      </c>
      <c r="R156" t="n">
        <v>0</v>
      </c>
      <c r="S156" t="n">
        <v>0</v>
      </c>
      <c r="U156" t="n">
        <v>0</v>
      </c>
      <c r="V156" t="n">
        <v>0</v>
      </c>
      <c r="X156">
        <f>IF(COUNTBLANK(E156,H156,K156,N156,Q156,T156,W156)&lt;7,"YES","")</f>
        <v/>
      </c>
    </row>
    <row r="157">
      <c r="A157" t="inlineStr">
        <is>
          <t>unknown_doloromics</t>
        </is>
      </c>
      <c r="B157" t="inlineStr">
        <is>
          <t>2A-R</t>
        </is>
      </c>
      <c r="C157" t="n">
        <v>1042</v>
      </c>
      <c r="D157" t="n">
        <v>498</v>
      </c>
      <c r="E157" t="inlineStr">
        <is>
          <t>Both</t>
        </is>
      </c>
      <c r="F157" t="n">
        <v>279</v>
      </c>
      <c r="G157" t="n">
        <v>276</v>
      </c>
      <c r="H157" t="inlineStr">
        <is>
          <t>Both</t>
        </is>
      </c>
      <c r="I157" t="n">
        <v>13</v>
      </c>
      <c r="J157" t="inlineStr">
        <is>
          <t>n/a</t>
        </is>
      </c>
      <c r="K157" t="inlineStr">
        <is>
          <t>Kraken2 (no PathSeq ref)</t>
        </is>
      </c>
      <c r="L157" t="n">
        <v>0</v>
      </c>
      <c r="M157" t="inlineStr">
        <is>
          <t>n/a</t>
        </is>
      </c>
      <c r="O157" t="n">
        <v>0</v>
      </c>
      <c r="P157" t="n">
        <v>0</v>
      </c>
      <c r="R157" t="n">
        <v>0</v>
      </c>
      <c r="S157" t="n">
        <v>0</v>
      </c>
      <c r="U157" t="n">
        <v>0</v>
      </c>
      <c r="V157" t="n">
        <v>0</v>
      </c>
      <c r="X157">
        <f>IF(COUNTBLANK(E157,H157,K157,N157,Q157,T157,W157)&lt;7,"YES","")</f>
        <v/>
      </c>
    </row>
    <row r="158">
      <c r="A158" t="inlineStr">
        <is>
          <t>osmexplant_juliet</t>
        </is>
      </c>
      <c r="B158" t="inlineStr">
        <is>
          <t>DRG-VEH-2</t>
        </is>
      </c>
      <c r="C158" t="n">
        <v>0</v>
      </c>
      <c r="D158" t="n">
        <v>2</v>
      </c>
      <c r="E158" t="inlineStr">
        <is>
          <t>PathSeq only</t>
        </is>
      </c>
      <c r="F158" t="n">
        <v>0</v>
      </c>
      <c r="G158" t="n">
        <v>0</v>
      </c>
      <c r="I158" t="n">
        <v>0</v>
      </c>
      <c r="J158" t="inlineStr">
        <is>
          <t>n/a</t>
        </is>
      </c>
      <c r="L158" t="n">
        <v>0</v>
      </c>
      <c r="M158" t="inlineStr">
        <is>
          <t>n/a</t>
        </is>
      </c>
      <c r="O158" t="n">
        <v>0</v>
      </c>
      <c r="P158" t="n">
        <v>0</v>
      </c>
      <c r="R158" t="n">
        <v>0</v>
      </c>
      <c r="S158" t="n">
        <v>0</v>
      </c>
      <c r="U158" t="n">
        <v>0</v>
      </c>
      <c r="V158" t="n">
        <v>0</v>
      </c>
      <c r="X158">
        <f>IF(COUNTBLANK(E158,H158,K158,N158,Q158,T158,W158)&lt;7,"YES","")</f>
        <v/>
      </c>
    </row>
    <row r="159">
      <c r="A159" t="inlineStr">
        <is>
          <t>osmexplant_juliet</t>
        </is>
      </c>
      <c r="B159" t="inlineStr">
        <is>
          <t>DRG-OSM-4</t>
        </is>
      </c>
      <c r="C159" t="n">
        <v>4499</v>
      </c>
      <c r="D159" t="n">
        <v>3156</v>
      </c>
      <c r="E159" t="inlineStr">
        <is>
          <t>Both</t>
        </is>
      </c>
      <c r="F159" t="n">
        <v>0</v>
      </c>
      <c r="G159" t="n">
        <v>0</v>
      </c>
      <c r="I159" t="n">
        <v>0</v>
      </c>
      <c r="J159" t="inlineStr">
        <is>
          <t>n/a</t>
        </is>
      </c>
      <c r="L159" t="n">
        <v>0</v>
      </c>
      <c r="M159" t="inlineStr">
        <is>
          <t>n/a</t>
        </is>
      </c>
      <c r="O159" t="n">
        <v>0</v>
      </c>
      <c r="P159" t="n">
        <v>0</v>
      </c>
      <c r="R159" t="n">
        <v>0</v>
      </c>
      <c r="S159" t="n">
        <v>0</v>
      </c>
      <c r="U159" t="n">
        <v>0</v>
      </c>
      <c r="V159" t="n">
        <v>0</v>
      </c>
      <c r="X159">
        <f>IF(COUNTBLANK(E159,H159,K159,N159,Q159,T159,W159)&lt;7,"YES","")</f>
        <v/>
      </c>
    </row>
    <row r="160">
      <c r="A160" t="inlineStr">
        <is>
          <t>osmexplant_juliet</t>
        </is>
      </c>
      <c r="B160" t="inlineStr">
        <is>
          <t>DRG-OSM-1</t>
        </is>
      </c>
      <c r="C160" t="n">
        <v>6660</v>
      </c>
      <c r="D160" t="n">
        <v>4538</v>
      </c>
      <c r="E160" t="inlineStr">
        <is>
          <t>Both</t>
        </is>
      </c>
      <c r="F160" t="n">
        <v>0</v>
      </c>
      <c r="G160" t="n">
        <v>0</v>
      </c>
      <c r="I160" t="n">
        <v>0</v>
      </c>
      <c r="J160" t="inlineStr">
        <is>
          <t>n/a</t>
        </is>
      </c>
      <c r="L160" t="n">
        <v>0</v>
      </c>
      <c r="M160" t="inlineStr">
        <is>
          <t>n/a</t>
        </is>
      </c>
      <c r="O160" t="n">
        <v>0</v>
      </c>
      <c r="P160" t="n">
        <v>0</v>
      </c>
      <c r="R160" t="n">
        <v>0</v>
      </c>
      <c r="S160" t="n">
        <v>0</v>
      </c>
      <c r="U160" t="n">
        <v>0</v>
      </c>
      <c r="V160" t="n">
        <v>0</v>
      </c>
      <c r="X160">
        <f>IF(COUNTBLANK(E160,H160,K160,N160,Q160,T160,W160)&lt;7,"YES","")</f>
        <v/>
      </c>
    </row>
    <row r="161">
      <c r="A161" t="inlineStr">
        <is>
          <t>osmexplant_juliet</t>
        </is>
      </c>
      <c r="B161" t="inlineStr">
        <is>
          <t>DRG-OSM-3</t>
        </is>
      </c>
      <c r="C161" t="n">
        <v>4810</v>
      </c>
      <c r="D161" t="n">
        <v>3427</v>
      </c>
      <c r="E161" t="inlineStr">
        <is>
          <t>Both</t>
        </is>
      </c>
      <c r="F161" t="n">
        <v>0</v>
      </c>
      <c r="G161" t="n">
        <v>0</v>
      </c>
      <c r="I161" t="n">
        <v>0</v>
      </c>
      <c r="J161" t="inlineStr">
        <is>
          <t>n/a</t>
        </is>
      </c>
      <c r="L161" t="n">
        <v>0</v>
      </c>
      <c r="M161" t="inlineStr">
        <is>
          <t>n/a</t>
        </is>
      </c>
      <c r="O161" t="n">
        <v>0</v>
      </c>
      <c r="P161" t="n">
        <v>0</v>
      </c>
      <c r="R161" t="n">
        <v>0</v>
      </c>
      <c r="S161" t="n">
        <v>0</v>
      </c>
      <c r="U161" t="n">
        <v>15</v>
      </c>
      <c r="V161" t="n">
        <v>0</v>
      </c>
      <c r="W161" t="inlineStr">
        <is>
          <t>Kraken2 only</t>
        </is>
      </c>
      <c r="X161">
        <f>IF(COUNTBLANK(E161,H161,K161,N161,Q161,T161,W161)&lt;7,"YES","")</f>
        <v/>
      </c>
    </row>
    <row r="162">
      <c r="A162" t="inlineStr">
        <is>
          <t>osmexplant_juliet</t>
        </is>
      </c>
      <c r="B162" t="inlineStr">
        <is>
          <t>DRG-OSM-2</t>
        </is>
      </c>
      <c r="C162" t="n">
        <v>5918</v>
      </c>
      <c r="D162" t="n">
        <v>4230</v>
      </c>
      <c r="E162" t="inlineStr">
        <is>
          <t>Both</t>
        </is>
      </c>
      <c r="F162" t="n">
        <v>0</v>
      </c>
      <c r="G162" t="n">
        <v>0</v>
      </c>
      <c r="I162" t="n">
        <v>0</v>
      </c>
      <c r="J162" t="inlineStr">
        <is>
          <t>n/a</t>
        </is>
      </c>
      <c r="L162" t="n">
        <v>0</v>
      </c>
      <c r="M162" t="inlineStr">
        <is>
          <t>n/a</t>
        </is>
      </c>
      <c r="O162" t="n">
        <v>0</v>
      </c>
      <c r="P162" t="n">
        <v>0</v>
      </c>
      <c r="R162" t="n">
        <v>0</v>
      </c>
      <c r="S162" t="n">
        <v>0</v>
      </c>
      <c r="U162" t="n">
        <v>0</v>
      </c>
      <c r="V162" t="n">
        <v>0</v>
      </c>
      <c r="X162">
        <f>IF(COUNTBLANK(E162,H162,K162,N162,Q162,T162,W162)&lt;7,"YES","")</f>
        <v/>
      </c>
    </row>
    <row r="163">
      <c r="A163" t="inlineStr">
        <is>
          <t>osmexplant_juliet</t>
        </is>
      </c>
      <c r="B163" t="inlineStr">
        <is>
          <t>DRG-VEH-4</t>
        </is>
      </c>
      <c r="C163" t="n">
        <v>2729</v>
      </c>
      <c r="D163" t="n">
        <v>1502</v>
      </c>
      <c r="E163" t="inlineStr">
        <is>
          <t>Both</t>
        </is>
      </c>
      <c r="F163" t="n">
        <v>0</v>
      </c>
      <c r="G163" t="n">
        <v>0</v>
      </c>
      <c r="I163" t="n">
        <v>0</v>
      </c>
      <c r="J163" t="inlineStr">
        <is>
          <t>n/a</t>
        </is>
      </c>
      <c r="L163" t="n">
        <v>0</v>
      </c>
      <c r="M163" t="inlineStr">
        <is>
          <t>n/a</t>
        </is>
      </c>
      <c r="O163" t="n">
        <v>0</v>
      </c>
      <c r="P163" t="n">
        <v>0</v>
      </c>
      <c r="R163" t="n">
        <v>0</v>
      </c>
      <c r="S163" t="n">
        <v>0</v>
      </c>
      <c r="U163" t="n">
        <v>0</v>
      </c>
      <c r="V163" t="n">
        <v>0</v>
      </c>
      <c r="X163">
        <f>IF(COUNTBLANK(E163,H163,K163,N163,Q163,T163,W163)&lt;7,"YES","")</f>
        <v/>
      </c>
    </row>
    <row r="164">
      <c r="A164" t="inlineStr">
        <is>
          <t>osmexplant_juliet</t>
        </is>
      </c>
      <c r="B164" t="inlineStr">
        <is>
          <t>DRG-VEH-3</t>
        </is>
      </c>
      <c r="C164" t="n">
        <v>18576</v>
      </c>
      <c r="D164" t="n">
        <v>14425</v>
      </c>
      <c r="E164" t="inlineStr">
        <is>
          <t>Both</t>
        </is>
      </c>
      <c r="F164" t="n">
        <v>0</v>
      </c>
      <c r="G164" t="n">
        <v>0</v>
      </c>
      <c r="I164" t="n">
        <v>0</v>
      </c>
      <c r="J164" t="inlineStr">
        <is>
          <t>n/a</t>
        </is>
      </c>
      <c r="L164" t="n">
        <v>0</v>
      </c>
      <c r="M164" t="inlineStr">
        <is>
          <t>n/a</t>
        </is>
      </c>
      <c r="O164" t="n">
        <v>0</v>
      </c>
      <c r="P164" t="n">
        <v>1</v>
      </c>
      <c r="Q164" t="inlineStr">
        <is>
          <t>PathSeq only</t>
        </is>
      </c>
      <c r="R164" t="n">
        <v>0</v>
      </c>
      <c r="S164" t="n">
        <v>0</v>
      </c>
      <c r="U164" t="n">
        <v>18</v>
      </c>
      <c r="V164" t="n">
        <v>4</v>
      </c>
      <c r="W164" t="inlineStr">
        <is>
          <t>Both</t>
        </is>
      </c>
      <c r="X164">
        <f>IF(COUNTBLANK(E164,H164,K164,N164,Q164,T164,W164)&lt;7,"YES","")</f>
        <v/>
      </c>
    </row>
  </sheetData>
  <autoFilter ref="A4:X1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Neurotrophic Virus Screen — PathSeq (third-opinion validator)</t>
        </is>
      </c>
    </row>
    <row r="4">
      <c r="A4" s="3" t="inlineStr">
        <is>
          <t>Cohort</t>
        </is>
      </c>
      <c r="B4" s="3" t="inlineStr">
        <is>
          <t>n (PathSeq)</t>
        </is>
      </c>
      <c r="C4" s="3" t="inlineStr">
        <is>
          <t>Status</t>
        </is>
      </c>
      <c r="D4" s="3" t="inlineStr">
        <is>
          <t>Duration</t>
        </is>
      </c>
      <c r="E4" s="3" t="inlineStr">
        <is>
          <t>HERV-K+</t>
        </is>
      </c>
      <c r="F4" s="3" t="inlineStr">
        <is>
          <t>HERV-K%</t>
        </is>
      </c>
      <c r="G4" s="3" t="inlineStr">
        <is>
          <t>HSV-1 (Simplexvirus humanalpha1 / Human alphaherpesvirus 1)+</t>
        </is>
      </c>
      <c r="H4" s="3" t="inlineStr">
        <is>
          <t>HSV-1 (Simplexvirus humanalpha1 / Human alphaherpesvirus 1)%</t>
        </is>
      </c>
      <c r="I4" s="3" t="inlineStr">
        <is>
          <t>Rhadinovirus saimiriinegamma2+</t>
        </is>
      </c>
      <c r="J4" s="3" t="inlineStr">
        <is>
          <t>Rhadinovirus saimiriinegamma2%</t>
        </is>
      </c>
      <c r="K4" s="3" t="inlineStr">
        <is>
          <t>AAV (Dependoparvovirus primate1)+</t>
        </is>
      </c>
      <c r="L4" s="3" t="inlineStr">
        <is>
          <t>AAV (Dependoparvovirus primate1)%</t>
        </is>
      </c>
      <c r="M4" s="3" t="inlineStr">
        <is>
          <t>Molluscum contagiosum virus+</t>
        </is>
      </c>
      <c r="N4" s="3" t="inlineStr">
        <is>
          <t>Molluscum contagiosum virus%</t>
        </is>
      </c>
    </row>
    <row r="5">
      <c r="A5" t="inlineStr">
        <is>
          <t>Watchmaker</t>
        </is>
      </c>
      <c r="B5" t="n">
        <v>24</v>
      </c>
      <c r="C5" t="inlineStr">
        <is>
          <t>Complete</t>
        </is>
      </c>
      <c r="D5" t="inlineStr">
        <is>
          <t>1h 22m</t>
        </is>
      </c>
      <c r="E5" t="n">
        <v>20</v>
      </c>
      <c r="F5" s="4">
        <f>E5/B5</f>
        <v/>
      </c>
      <c r="G5" t="n">
        <v>1</v>
      </c>
      <c r="H5" s="4">
        <f>G5/B5</f>
        <v/>
      </c>
      <c r="I5" t="n">
        <v>1</v>
      </c>
      <c r="J5" s="4">
        <f>I5/B5</f>
        <v/>
      </c>
      <c r="K5" t="n">
        <v>0</v>
      </c>
      <c r="L5" s="4">
        <f>K5/B5</f>
        <v/>
      </c>
      <c r="M5" t="n">
        <v>1</v>
      </c>
      <c r="N5" s="4">
        <f>M5/B5</f>
        <v/>
      </c>
    </row>
    <row r="6">
      <c r="A6" t="inlineStr">
        <is>
          <t>adult_infant_soma_axon</t>
        </is>
      </c>
      <c r="B6" t="n">
        <v>10</v>
      </c>
      <c r="C6" t="inlineStr">
        <is>
          <t>Complete</t>
        </is>
      </c>
      <c r="D6" t="inlineStr">
        <is>
          <t>6h 51m</t>
        </is>
      </c>
      <c r="E6" t="n">
        <v>10</v>
      </c>
      <c r="F6" s="4">
        <f>E6/B6</f>
        <v/>
      </c>
      <c r="G6" t="n">
        <v>0</v>
      </c>
      <c r="H6" s="4">
        <f>G6/B6</f>
        <v/>
      </c>
      <c r="I6" t="n">
        <v>1</v>
      </c>
      <c r="J6" s="4">
        <f>I6/B6</f>
        <v/>
      </c>
      <c r="K6" t="n">
        <v>0</v>
      </c>
      <c r="L6" s="4">
        <f>K6/B6</f>
        <v/>
      </c>
      <c r="M6" t="n">
        <v>4</v>
      </c>
      <c r="N6" s="4">
        <f>M6/B6</f>
        <v/>
      </c>
    </row>
    <row r="7">
      <c r="A7" t="inlineStr">
        <is>
          <t>Thoracic DRG</t>
        </is>
      </c>
      <c r="B7" t="n">
        <v>23</v>
      </c>
      <c r="C7" t="inlineStr">
        <is>
          <t>Complete</t>
        </is>
      </c>
      <c r="D7" t="inlineStr">
        <is>
          <t>1d 16h 53m</t>
        </is>
      </c>
      <c r="E7" t="n">
        <v>19</v>
      </c>
      <c r="F7" s="4">
        <f>E7/B7</f>
        <v/>
      </c>
      <c r="G7" t="n">
        <v>3</v>
      </c>
      <c r="H7" s="4">
        <f>G7/B7</f>
        <v/>
      </c>
      <c r="I7" t="n">
        <v>1</v>
      </c>
      <c r="J7" s="4">
        <f>I7/B7</f>
        <v/>
      </c>
      <c r="K7" t="n">
        <v>1</v>
      </c>
      <c r="L7" s="4">
        <f>K7/B7</f>
        <v/>
      </c>
      <c r="M7" t="n">
        <v>0</v>
      </c>
      <c r="N7" s="4">
        <f>M7/B7</f>
        <v/>
      </c>
    </row>
    <row r="8">
      <c r="A8" t="inlineStr">
        <is>
          <t>mgoexplant_saad</t>
        </is>
      </c>
      <c r="B8" t="n">
        <v>6</v>
      </c>
      <c r="C8" t="inlineStr">
        <is>
          <t>Complete</t>
        </is>
      </c>
      <c r="D8" t="inlineStr">
        <is>
          <t>42m</t>
        </is>
      </c>
      <c r="E8" t="n">
        <v>5</v>
      </c>
      <c r="F8" s="4">
        <f>E8/B8</f>
        <v/>
      </c>
      <c r="G8" t="n">
        <v>0</v>
      </c>
      <c r="H8" s="4">
        <f>G8/B8</f>
        <v/>
      </c>
      <c r="I8" t="n">
        <v>0</v>
      </c>
      <c r="J8" s="4">
        <f>I8/B8</f>
        <v/>
      </c>
      <c r="K8" t="n">
        <v>0</v>
      </c>
      <c r="L8" s="4">
        <f>K8/B8</f>
        <v/>
      </c>
      <c r="M8" t="n">
        <v>0</v>
      </c>
      <c r="N8" s="4">
        <f>M8/B8</f>
        <v/>
      </c>
    </row>
    <row r="9">
      <c r="A9" t="inlineStr">
        <is>
          <t>tg_2018_emma_nih (TG)</t>
        </is>
      </c>
      <c r="B9" t="n">
        <v>16</v>
      </c>
      <c r="C9" t="inlineStr">
        <is>
          <t>Complete</t>
        </is>
      </c>
      <c r="D9" t="inlineStr">
        <is>
          <t>1h 22m</t>
        </is>
      </c>
      <c r="E9" t="n">
        <v>16</v>
      </c>
      <c r="F9" s="4">
        <f>E9/B9</f>
        <v/>
      </c>
      <c r="G9" t="n">
        <v>6</v>
      </c>
      <c r="H9" s="4">
        <f>G9/B9</f>
        <v/>
      </c>
      <c r="I9" t="n">
        <v>1</v>
      </c>
      <c r="J9" s="4">
        <f>I9/B9</f>
        <v/>
      </c>
      <c r="K9" t="n">
        <v>0</v>
      </c>
      <c r="L9" s="4">
        <f>K9/B9</f>
        <v/>
      </c>
      <c r="M9" t="n">
        <v>0</v>
      </c>
      <c r="N9" s="4">
        <f>M9/B9</f>
        <v/>
      </c>
    </row>
    <row r="10">
      <c r="A10" t="inlineStr">
        <is>
          <t>osmcultured_juliet</t>
        </is>
      </c>
      <c r="B10" t="n">
        <v>6</v>
      </c>
      <c r="C10" t="inlineStr">
        <is>
          <t>Complete</t>
        </is>
      </c>
      <c r="D10" t="inlineStr">
        <is>
          <t>35m 2s</t>
        </is>
      </c>
      <c r="E10" t="n">
        <v>6</v>
      </c>
      <c r="F10" s="4">
        <f>E10/B10</f>
        <v/>
      </c>
      <c r="G10" t="n">
        <v>0</v>
      </c>
      <c r="H10" s="4">
        <f>G10/B10</f>
        <v/>
      </c>
      <c r="I10" t="n">
        <v>0</v>
      </c>
      <c r="J10" s="4">
        <f>I10/B10</f>
        <v/>
      </c>
      <c r="K10" t="n">
        <v>0</v>
      </c>
      <c r="L10" s="4">
        <f>K10/B10</f>
        <v/>
      </c>
      <c r="M10" t="n">
        <v>1</v>
      </c>
      <c r="N10" s="4">
        <f>M10/B10</f>
        <v/>
      </c>
    </row>
    <row r="11">
      <c r="A11" t="inlineStr">
        <is>
          <t>rejoin_jayden</t>
        </is>
      </c>
      <c r="B11" t="n">
        <v>17</v>
      </c>
      <c r="C11" t="inlineStr">
        <is>
          <t>Complete</t>
        </is>
      </c>
      <c r="D11" t="inlineStr">
        <is>
          <t>18m 2s</t>
        </is>
      </c>
      <c r="E11" t="n">
        <v>17</v>
      </c>
      <c r="F11" s="4">
        <f>E11/B11</f>
        <v/>
      </c>
      <c r="G11" t="n">
        <v>1</v>
      </c>
      <c r="H11" s="4">
        <f>G11/B11</f>
        <v/>
      </c>
      <c r="I11" t="n">
        <v>17</v>
      </c>
      <c r="J11" s="4">
        <f>I11/B11</f>
        <v/>
      </c>
      <c r="K11" t="n">
        <v>0</v>
      </c>
      <c r="L11" s="4">
        <f>K11/B11</f>
        <v/>
      </c>
      <c r="M11" t="n">
        <v>10</v>
      </c>
      <c r="N11" s="4">
        <f>M11/B11</f>
        <v/>
      </c>
    </row>
    <row r="12">
      <c r="A12" t="inlineStr">
        <is>
          <t>dpn_ra_kulkarni</t>
        </is>
      </c>
      <c r="B12" t="n">
        <v>25</v>
      </c>
      <c r="C12" t="inlineStr">
        <is>
          <t>Complete</t>
        </is>
      </c>
      <c r="D12" t="inlineStr">
        <is>
          <t>1h 53m 33s</t>
        </is>
      </c>
      <c r="E12" t="n">
        <v>25</v>
      </c>
      <c r="F12" s="4">
        <f>E12/B12</f>
        <v/>
      </c>
      <c r="G12" t="n">
        <v>0</v>
      </c>
      <c r="H12" s="4">
        <f>G12/B12</f>
        <v/>
      </c>
      <c r="I12" t="n">
        <v>1</v>
      </c>
      <c r="J12" s="4">
        <f>I12/B12</f>
        <v/>
      </c>
      <c r="K12" t="n">
        <v>3</v>
      </c>
      <c r="L12" s="4">
        <f>K12/B12</f>
        <v/>
      </c>
      <c r="M12" t="n">
        <v>0</v>
      </c>
      <c r="N12" s="4">
        <f>M12/B12</f>
        <v/>
      </c>
    </row>
    <row r="13">
      <c r="A13" t="inlineStr">
        <is>
          <t>osm_juliet</t>
        </is>
      </c>
      <c r="B13" t="n">
        <v>18</v>
      </c>
      <c r="C13" t="inlineStr">
        <is>
          <t>Complete</t>
        </is>
      </c>
      <c r="D13" t="inlineStr">
        <is>
          <t>47m 2s</t>
        </is>
      </c>
      <c r="E13" t="n">
        <v>18</v>
      </c>
      <c r="F13" s="4">
        <f>E13/B13</f>
        <v/>
      </c>
      <c r="G13" t="n">
        <v>0</v>
      </c>
      <c r="H13" s="4">
        <f>G13/B13</f>
        <v/>
      </c>
      <c r="I13" t="n">
        <v>0</v>
      </c>
      <c r="J13" s="4">
        <f>I13/B13</f>
        <v/>
      </c>
      <c r="K13" t="n">
        <v>0</v>
      </c>
      <c r="L13" s="4">
        <f>K13/B13</f>
        <v/>
      </c>
      <c r="M13" t="n">
        <v>0</v>
      </c>
      <c r="N13" s="4">
        <f>M13/B13</f>
        <v/>
      </c>
    </row>
    <row r="14">
      <c r="A14" t="inlineStr">
        <is>
          <t>unknown_doloromics</t>
        </is>
      </c>
      <c r="B14" t="n">
        <v>7</v>
      </c>
      <c r="C14" t="inlineStr">
        <is>
          <t>Complete</t>
        </is>
      </c>
      <c r="D14" t="inlineStr">
        <is>
          <t>1m 2s (7/8 samples; 4A-R excluded, see cohort_registry.md)</t>
        </is>
      </c>
      <c r="E14" t="n">
        <v>4</v>
      </c>
      <c r="F14" s="4">
        <f>E14/B14</f>
        <v/>
      </c>
      <c r="G14" t="n">
        <v>1</v>
      </c>
      <c r="H14" s="4">
        <f>G14/B14</f>
        <v/>
      </c>
      <c r="I14" t="n">
        <v>0</v>
      </c>
      <c r="J14" s="4">
        <f>I14/B14</f>
        <v/>
      </c>
      <c r="K14" t="n">
        <v>0</v>
      </c>
      <c r="L14" s="4">
        <f>K14/B14</f>
        <v/>
      </c>
      <c r="M14" t="n">
        <v>0</v>
      </c>
      <c r="N14" s="4">
        <f>M14/B14</f>
        <v/>
      </c>
    </row>
    <row r="15">
      <c r="A15" t="inlineStr">
        <is>
          <t>osmexplant_juliet</t>
        </is>
      </c>
      <c r="B15" t="n">
        <v>7</v>
      </c>
      <c r="C15" t="inlineStr">
        <is>
          <t>Complete</t>
        </is>
      </c>
      <c r="D15" t="inlineStr">
        <is>
          <t>12m 33s</t>
        </is>
      </c>
      <c r="E15" t="n">
        <v>7</v>
      </c>
      <c r="F15" s="4">
        <f>E15/B15</f>
        <v/>
      </c>
      <c r="G15" t="n">
        <v>0</v>
      </c>
      <c r="H15" s="4">
        <f>G15/B15</f>
        <v/>
      </c>
      <c r="I15" t="n">
        <v>1</v>
      </c>
      <c r="J15" s="4">
        <f>I15/B15</f>
        <v/>
      </c>
      <c r="K15" t="n">
        <v>0</v>
      </c>
      <c r="L15" s="4">
        <f>K15/B15</f>
        <v/>
      </c>
      <c r="M15" t="n">
        <v>1</v>
      </c>
      <c r="N15" s="4">
        <f>M15/B15</f>
        <v/>
      </c>
    </row>
    <row r="16">
      <c r="A16" t="inlineStr">
        <is>
          <t>TOTAL (completed cohorts only)</t>
        </is>
      </c>
      <c r="B16">
        <f>SUM(B5:B15)</f>
        <v/>
      </c>
      <c r="E16">
        <f>SUM(E5:E15)</f>
        <v/>
      </c>
      <c r="F16" s="4">
        <f>E16/$B$16</f>
        <v/>
      </c>
      <c r="G16">
        <f>SUM(G5:G15)</f>
        <v/>
      </c>
      <c r="H16" s="4">
        <f>G16/$B$16</f>
        <v/>
      </c>
      <c r="I16">
        <f>SUM(I5:I15)</f>
        <v/>
      </c>
      <c r="J16" s="4">
        <f>I16/$B$16</f>
        <v/>
      </c>
      <c r="K16">
        <f>SUM(K5:K15)</f>
        <v/>
      </c>
      <c r="L16" s="4">
        <f>K16/$B$16</f>
        <v/>
      </c>
      <c r="M16">
        <f>SUM(M5:M15)</f>
        <v/>
      </c>
      <c r="N16" s="4">
        <f>M16/$B$16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4" topLeftCell="A5" activePane="bottomLeft" state="frozen"/>
      <selection pane="bottomLeft" activeCell="C20" sqref="C20"/>
    </sheetView>
  </sheetViews>
  <sheetFormatPr baseColWidth="8" defaultRowHeight="15"/>
  <cols>
    <col width="24" customWidth="1" min="1" max="1"/>
    <col width="6" customWidth="1" min="2" max="2"/>
    <col width="9" customWidth="1" min="3" max="4"/>
    <col width="11" customWidth="1" min="5" max="6"/>
    <col width="13" customWidth="1" min="7" max="7"/>
    <col width="14" customWidth="1" min="8" max="8"/>
    <col width="6" customWidth="1" min="9" max="10"/>
    <col width="13" customWidth="1" min="11" max="12"/>
  </cols>
  <sheetData>
    <row r="1" ht="17.25" customHeight="1">
      <c r="A1" s="1" t="inlineStr">
        <is>
          <t>Neurotrophic Virus Screen — By Cohort</t>
        </is>
      </c>
    </row>
    <row r="2">
      <c r="A2" s="2" t="n"/>
    </row>
    <row r="4" ht="30" customHeight="1">
      <c r="A4" s="3" t="inlineStr">
        <is>
          <t>Cohort</t>
        </is>
      </c>
      <c r="B4" s="3" t="inlineStr">
        <is>
          <t>n</t>
        </is>
      </c>
      <c r="C4" s="3" t="inlineStr">
        <is>
          <t>HERV-K+</t>
        </is>
      </c>
      <c r="D4" s="3" t="inlineStr">
        <is>
          <t>HERV-K %</t>
        </is>
      </c>
      <c r="E4" s="3" t="inlineStr">
        <is>
          <t>HSV genus+</t>
        </is>
      </c>
      <c r="F4" s="3" t="inlineStr">
        <is>
          <t>HSV genus %</t>
        </is>
      </c>
      <c r="G4" s="3" t="inlineStr">
        <is>
          <t>Rhadinovirus+</t>
        </is>
      </c>
      <c r="H4" s="3" t="inlineStr">
        <is>
          <t>Rhadinovirus %</t>
        </is>
      </c>
      <c r="I4" s="3" t="inlineStr">
        <is>
          <t>AAV+</t>
        </is>
      </c>
      <c r="J4" s="3" t="inlineStr">
        <is>
          <t>AAV %</t>
        </is>
      </c>
      <c r="K4" s="3" t="inlineStr">
        <is>
          <t>VZV/CMV/EBV+</t>
        </is>
      </c>
      <c r="L4" s="3" t="inlineStr">
        <is>
          <t>VZV/CMV/EBV %</t>
        </is>
      </c>
    </row>
    <row r="5">
      <c r="A5" t="inlineStr">
        <is>
          <t>Watchmaker</t>
        </is>
      </c>
      <c r="B5" t="n">
        <v>24</v>
      </c>
      <c r="C5" t="n">
        <v>20</v>
      </c>
      <c r="D5" s="4">
        <f>C5/B5</f>
        <v/>
      </c>
      <c r="E5" t="n">
        <v>1</v>
      </c>
      <c r="F5" s="4">
        <f>E5/B5</f>
        <v/>
      </c>
      <c r="G5" t="n">
        <v>0</v>
      </c>
      <c r="H5" s="4">
        <f>G5/B5</f>
        <v/>
      </c>
      <c r="I5" t="n">
        <v>0</v>
      </c>
      <c r="J5" s="4">
        <f>I5/B5</f>
        <v/>
      </c>
      <c r="K5" t="n">
        <v>0</v>
      </c>
      <c r="L5" s="4">
        <f>K5/B5</f>
        <v/>
      </c>
    </row>
    <row r="6">
      <c r="A6" t="inlineStr">
        <is>
          <t>adult_infant_soma_axon</t>
        </is>
      </c>
      <c r="B6" t="n">
        <v>10</v>
      </c>
      <c r="C6" t="n">
        <v>10</v>
      </c>
      <c r="D6" s="4">
        <f>C6/B6</f>
        <v/>
      </c>
      <c r="E6" t="n">
        <v>0</v>
      </c>
      <c r="F6" s="4">
        <f>E6/B6</f>
        <v/>
      </c>
      <c r="G6" t="n">
        <v>0</v>
      </c>
      <c r="H6" s="4">
        <f>G6/B6</f>
        <v/>
      </c>
      <c r="I6" t="n">
        <v>0</v>
      </c>
      <c r="J6" s="4">
        <f>I6/B6</f>
        <v/>
      </c>
      <c r="K6" t="n">
        <v>0</v>
      </c>
      <c r="L6" s="4">
        <f>K6/B6</f>
        <v/>
      </c>
    </row>
    <row r="7">
      <c r="A7" t="inlineStr">
        <is>
          <t>Thoracic DRG</t>
        </is>
      </c>
      <c r="B7" t="n">
        <v>24</v>
      </c>
      <c r="C7" t="n">
        <v>19</v>
      </c>
      <c r="D7" s="4">
        <f>C7/B7</f>
        <v/>
      </c>
      <c r="E7" t="n">
        <v>5</v>
      </c>
      <c r="F7" s="4">
        <f>E7/B7</f>
        <v/>
      </c>
      <c r="G7" t="n">
        <v>0</v>
      </c>
      <c r="H7" s="4">
        <f>G7/B7</f>
        <v/>
      </c>
      <c r="I7" t="n">
        <v>1</v>
      </c>
      <c r="J7" s="4">
        <f>I7/B7</f>
        <v/>
      </c>
      <c r="K7" t="n">
        <v>0</v>
      </c>
      <c r="L7" s="4">
        <f>K7/B7</f>
        <v/>
      </c>
    </row>
    <row r="8">
      <c r="A8" t="inlineStr">
        <is>
          <t>mgoexplant_saad</t>
        </is>
      </c>
      <c r="B8" t="n">
        <v>6</v>
      </c>
      <c r="C8" t="n">
        <v>5</v>
      </c>
      <c r="D8" s="4">
        <f>C8/B8</f>
        <v/>
      </c>
      <c r="E8" t="n">
        <v>0</v>
      </c>
      <c r="F8" s="4">
        <f>E8/B8</f>
        <v/>
      </c>
      <c r="G8" t="n">
        <v>0</v>
      </c>
      <c r="H8" s="4">
        <f>G8/B8</f>
        <v/>
      </c>
      <c r="I8" t="n">
        <v>0</v>
      </c>
      <c r="J8" s="4">
        <f>I8/B8</f>
        <v/>
      </c>
      <c r="K8" t="n">
        <v>0</v>
      </c>
      <c r="L8" s="4">
        <f>K8/B8</f>
        <v/>
      </c>
    </row>
    <row r="9">
      <c r="A9" t="inlineStr">
        <is>
          <t>tg_2018_emma_nih (TG)</t>
        </is>
      </c>
      <c r="B9" t="n">
        <v>16</v>
      </c>
      <c r="C9" t="n">
        <v>16</v>
      </c>
      <c r="D9" s="4">
        <f>C9/B9</f>
        <v/>
      </c>
      <c r="E9" t="n">
        <v>5</v>
      </c>
      <c r="F9" s="4">
        <f>E9/B9</f>
        <v/>
      </c>
      <c r="G9" t="n">
        <v>0</v>
      </c>
      <c r="H9" s="4">
        <f>G9/B9</f>
        <v/>
      </c>
      <c r="I9" t="n">
        <v>0</v>
      </c>
      <c r="J9" s="4">
        <f>I9/B9</f>
        <v/>
      </c>
      <c r="K9" t="n">
        <v>0</v>
      </c>
      <c r="L9" s="4">
        <f>K9/B9</f>
        <v/>
      </c>
    </row>
    <row r="10">
      <c r="A10" t="inlineStr">
        <is>
          <t>osmcultured_juliet</t>
        </is>
      </c>
      <c r="B10" t="n">
        <v>6</v>
      </c>
      <c r="C10" t="n">
        <v>6</v>
      </c>
      <c r="D10" s="4">
        <f>C10/B10</f>
        <v/>
      </c>
      <c r="E10" t="n">
        <v>0</v>
      </c>
      <c r="F10" s="4">
        <f>E10/B10</f>
        <v/>
      </c>
      <c r="G10" t="n">
        <v>0</v>
      </c>
      <c r="H10" s="4">
        <f>G10/B10</f>
        <v/>
      </c>
      <c r="I10" t="n">
        <v>0</v>
      </c>
      <c r="J10" s="4">
        <f>I10/B10</f>
        <v/>
      </c>
      <c r="K10" t="n">
        <v>0</v>
      </c>
      <c r="L10" s="4">
        <f>K10/B10</f>
        <v/>
      </c>
    </row>
    <row r="11">
      <c r="A11" t="inlineStr">
        <is>
          <t>rejoin_jayden</t>
        </is>
      </c>
      <c r="B11" t="n">
        <v>17</v>
      </c>
      <c r="C11" t="n">
        <v>17</v>
      </c>
      <c r="D11" s="4">
        <f>C11/B11</f>
        <v/>
      </c>
      <c r="E11" t="n">
        <v>2</v>
      </c>
      <c r="F11" s="4">
        <f>E11/B11</f>
        <v/>
      </c>
      <c r="G11" t="n">
        <v>1</v>
      </c>
      <c r="H11" s="4">
        <f>G11/B11</f>
        <v/>
      </c>
      <c r="I11" t="n">
        <v>0</v>
      </c>
      <c r="J11" s="4">
        <f>I11/B11</f>
        <v/>
      </c>
      <c r="K11" t="n">
        <v>0</v>
      </c>
      <c r="L11" s="4">
        <f>K11/B11</f>
        <v/>
      </c>
    </row>
    <row r="12">
      <c r="A12" t="inlineStr">
        <is>
          <t>dpn_ra_kulkarni</t>
        </is>
      </c>
      <c r="B12" t="n">
        <v>25</v>
      </c>
      <c r="C12" t="n">
        <v>25</v>
      </c>
      <c r="D12" s="4">
        <f>C12/B12</f>
        <v/>
      </c>
      <c r="E12" t="n">
        <v>0</v>
      </c>
      <c r="F12" s="4">
        <f>E12/B12</f>
        <v/>
      </c>
      <c r="G12" t="n">
        <v>0</v>
      </c>
      <c r="H12" s="4">
        <f>G12/B12</f>
        <v/>
      </c>
      <c r="I12" t="n">
        <v>0</v>
      </c>
      <c r="J12" s="4">
        <f>I12/B12</f>
        <v/>
      </c>
      <c r="K12" t="n">
        <v>0</v>
      </c>
      <c r="L12" s="4">
        <f>K12/B12</f>
        <v/>
      </c>
    </row>
    <row r="13">
      <c r="A13" t="inlineStr">
        <is>
          <t>osm_juliet</t>
        </is>
      </c>
      <c r="B13" t="n">
        <v>18</v>
      </c>
      <c r="C13" t="n">
        <v>18</v>
      </c>
      <c r="D13" s="4">
        <f>C13/B13</f>
        <v/>
      </c>
      <c r="E13" t="n">
        <v>0</v>
      </c>
      <c r="F13" s="4">
        <f>E13/B13</f>
        <v/>
      </c>
      <c r="G13" t="n">
        <v>0</v>
      </c>
      <c r="H13" s="4">
        <f>G13/B13</f>
        <v/>
      </c>
      <c r="I13" t="n">
        <v>0</v>
      </c>
      <c r="J13" s="4">
        <f>I13/B13</f>
        <v/>
      </c>
      <c r="K13" t="n">
        <v>0</v>
      </c>
      <c r="L13" s="4">
        <f>K13/B13</f>
        <v/>
      </c>
    </row>
    <row r="14">
      <c r="A14" t="inlineStr">
        <is>
          <t>unknown_doloromics</t>
        </is>
      </c>
      <c r="B14" t="n">
        <v>8</v>
      </c>
      <c r="C14" t="n">
        <v>4</v>
      </c>
      <c r="D14" s="4">
        <f>C14/B14</f>
        <v/>
      </c>
      <c r="E14" t="n">
        <v>1</v>
      </c>
      <c r="F14" s="4">
        <f>E14/B14</f>
        <v/>
      </c>
      <c r="G14" t="n">
        <v>0</v>
      </c>
      <c r="H14" s="4">
        <f>G14/B14</f>
        <v/>
      </c>
      <c r="I14" t="n">
        <v>0</v>
      </c>
      <c r="J14" s="4">
        <f>I14/B14</f>
        <v/>
      </c>
      <c r="K14" t="n">
        <v>0</v>
      </c>
      <c r="L14" s="4">
        <f>K14/B14</f>
        <v/>
      </c>
    </row>
    <row r="15">
      <c r="A15" t="inlineStr">
        <is>
          <t>osmexplant_juliet</t>
        </is>
      </c>
      <c r="B15" t="n">
        <v>7</v>
      </c>
      <c r="C15" t="n">
        <v>6</v>
      </c>
      <c r="D15" s="4">
        <f>C15/B15</f>
        <v/>
      </c>
      <c r="E15" t="n">
        <v>0</v>
      </c>
      <c r="F15" s="4">
        <f>E15/B15</f>
        <v/>
      </c>
      <c r="G15" t="n">
        <v>0</v>
      </c>
      <c r="H15" s="4">
        <f>G15/B15</f>
        <v/>
      </c>
      <c r="I15" t="n">
        <v>0</v>
      </c>
      <c r="J15" s="4">
        <f>I15/B15</f>
        <v/>
      </c>
      <c r="K15" t="n">
        <v>0</v>
      </c>
      <c r="L15" s="4">
        <f>K15/B15</f>
        <v/>
      </c>
    </row>
    <row r="16">
      <c r="A16" s="5" t="inlineStr">
        <is>
          <t>TOTAL</t>
        </is>
      </c>
      <c r="B16" s="5">
        <f>SUM(B5:B15)</f>
        <v/>
      </c>
      <c r="C16" s="5">
        <f>SUM(C5:C15)</f>
        <v/>
      </c>
      <c r="D16" s="6">
        <f>C16/B16</f>
        <v/>
      </c>
      <c r="E16" s="5">
        <f>SUM(E5:E15)</f>
        <v/>
      </c>
      <c r="F16" s="6">
        <f>E16/B16</f>
        <v/>
      </c>
      <c r="G16" s="5">
        <f>SUM(G5:G15)</f>
        <v/>
      </c>
      <c r="H16" s="6">
        <f>G16/B16</f>
        <v/>
      </c>
      <c r="I16" s="5">
        <f>SUM(I5:I15)</f>
        <v/>
      </c>
      <c r="J16" s="6">
        <f>I16/B16</f>
        <v/>
      </c>
      <c r="K16" s="5">
        <f>SUM(K5:K15)</f>
        <v/>
      </c>
      <c r="L16" s="6">
        <f>K16/B16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2026-08-20T22:41:24Z</dcterms:created>
  <dcterms:modified xmlns:dcterms="http://purl.org/dc/terms/" xmlns:xsi="http://www.w3.org/2001/XMLSchema-instance" xsi:type="dcterms:W3CDTF">2026-08-24T00:03:29Z</dcterms:modified>
  <cp:lastModifiedBy>Michael Wilde</cp:lastModifiedBy>
</cp:coreProperties>
</file>